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-15" windowWidth="28830" windowHeight="8760"/>
  </bookViews>
  <sheets>
    <sheet name="Refrigeration BOM" sheetId="10" r:id="rId1"/>
    <sheet name="Refrigeration BOM (Blank)" sheetId="23" state="hidden" r:id="rId2"/>
    <sheet name="Part ID" sheetId="17" r:id="rId3"/>
    <sheet name="Vendor Data" sheetId="6" state="hidden" r:id="rId4"/>
    <sheet name="Voltage Codes" sheetId="24" state="hidden" r:id="rId5"/>
  </sheets>
  <functionGroups builtInGroupCount="17"/>
  <definedNames>
    <definedName name="_xlnm.Print_Area" localSheetId="0">'Refrigeration BOM'!$A$1:$N$43</definedName>
    <definedName name="_xlnm.Print_Area" localSheetId="1">'Refrigeration BOM (Blank)'!$A$1:$N$27</definedName>
    <definedName name="_xlnm.Print_Titles" localSheetId="0">'Refrigeration BOM'!$1:$8</definedName>
    <definedName name="_xlnm.Print_Titles" localSheetId="1">'Refrigeration BOM (Blank)'!$1:$8</definedName>
    <definedName name="Refrigeration_Data" localSheetId="3" hidden="1">'Vendor Data'!$A$1:$E$18</definedName>
    <definedName name="Refrigeration_Data" localSheetId="4" hidden="1">'Voltage Codes'!$A$1:$E$18</definedName>
    <definedName name="Refrigeration_Data_1" localSheetId="2" hidden="1">'Part ID'!$A$1:$I$1567</definedName>
  </definedNames>
  <calcPr calcId="144525"/>
</workbook>
</file>

<file path=xl/calcChain.xml><?xml version="1.0" encoding="utf-8"?>
<calcChain xmlns="http://schemas.openxmlformats.org/spreadsheetml/2006/main">
  <c r="T41" i="10" l="1"/>
  <c r="N41" i="10"/>
  <c r="I41" i="10"/>
  <c r="F41" i="10"/>
  <c r="T40" i="10"/>
  <c r="N40" i="10"/>
  <c r="I40" i="10"/>
  <c r="F40" i="10"/>
  <c r="T39" i="10"/>
  <c r="N39" i="10"/>
  <c r="I39" i="10"/>
  <c r="F39" i="10"/>
  <c r="T38" i="10"/>
  <c r="N38" i="10"/>
  <c r="I38" i="10"/>
  <c r="F38" i="10"/>
  <c r="T37" i="10"/>
  <c r="N37" i="10"/>
  <c r="I37" i="10"/>
  <c r="F37" i="10"/>
  <c r="T36" i="10"/>
  <c r="N36" i="10"/>
  <c r="I36" i="10"/>
  <c r="F36" i="10"/>
  <c r="T35" i="10"/>
  <c r="N35" i="10"/>
  <c r="I35" i="10"/>
  <c r="F35" i="10"/>
  <c r="T34" i="10"/>
  <c r="N34" i="10"/>
  <c r="I34" i="10"/>
  <c r="F34" i="10"/>
  <c r="T33" i="10"/>
  <c r="N33" i="10"/>
  <c r="I33" i="10"/>
  <c r="F33" i="10"/>
  <c r="T32" i="10"/>
  <c r="N32" i="10"/>
  <c r="I32" i="10"/>
  <c r="F32" i="10"/>
  <c r="T31" i="10"/>
  <c r="N31" i="10"/>
  <c r="I31" i="10"/>
  <c r="F31" i="10"/>
  <c r="T30" i="10"/>
  <c r="N30" i="10"/>
  <c r="I30" i="10"/>
  <c r="F30" i="10"/>
  <c r="T29" i="10"/>
  <c r="N29" i="10"/>
  <c r="I29" i="10"/>
  <c r="F29" i="10"/>
  <c r="T28" i="10"/>
  <c r="N28" i="10"/>
  <c r="I28" i="10"/>
  <c r="F28" i="10"/>
  <c r="T27" i="10"/>
  <c r="N27" i="10"/>
  <c r="I27" i="10"/>
  <c r="F27" i="10"/>
  <c r="T26" i="10"/>
  <c r="N26" i="10"/>
  <c r="I26" i="10"/>
  <c r="F26" i="10"/>
  <c r="T25" i="10"/>
  <c r="N25" i="10"/>
  <c r="I25" i="10"/>
  <c r="F25" i="10"/>
  <c r="T24" i="10"/>
  <c r="N24" i="10"/>
  <c r="I24" i="10"/>
  <c r="F24" i="10"/>
  <c r="T23" i="10"/>
  <c r="N23" i="10"/>
  <c r="I23" i="10"/>
  <c r="F23" i="10"/>
  <c r="T22" i="10"/>
  <c r="N22" i="10"/>
  <c r="I22" i="10"/>
  <c r="F22" i="10"/>
  <c r="T21" i="10"/>
  <c r="N21" i="10"/>
  <c r="I21" i="10"/>
  <c r="F21" i="10"/>
  <c r="T20" i="10"/>
  <c r="N20" i="10"/>
  <c r="I20" i="10"/>
  <c r="F20" i="10"/>
  <c r="T19" i="10"/>
  <c r="N19" i="10"/>
  <c r="I19" i="10"/>
  <c r="F19" i="10"/>
  <c r="T18" i="10"/>
  <c r="N18" i="10"/>
  <c r="I18" i="10"/>
  <c r="F18" i="10"/>
  <c r="T17" i="10"/>
  <c r="N17" i="10"/>
  <c r="I17" i="10"/>
  <c r="F17" i="10"/>
  <c r="T16" i="10"/>
  <c r="N16" i="10"/>
  <c r="I16" i="10"/>
  <c r="F16" i="10"/>
  <c r="T15" i="10"/>
  <c r="N15" i="10"/>
  <c r="I15" i="10"/>
  <c r="F15" i="10"/>
  <c r="T14" i="10"/>
  <c r="N14" i="10"/>
  <c r="I14" i="10"/>
  <c r="F14" i="10"/>
  <c r="T13" i="10"/>
  <c r="N13" i="10"/>
  <c r="I13" i="10"/>
  <c r="F13" i="10"/>
  <c r="T12" i="10"/>
  <c r="N12" i="10"/>
  <c r="I12" i="10"/>
  <c r="F12" i="10"/>
  <c r="T11" i="10"/>
  <c r="N11" i="10"/>
  <c r="I11" i="10"/>
  <c r="F11" i="10"/>
  <c r="T10" i="10"/>
  <c r="N10" i="10"/>
  <c r="I10" i="10"/>
  <c r="F10" i="10"/>
  <c r="F2" i="24"/>
  <c r="F3" i="24"/>
  <c r="F4" i="24"/>
  <c r="F5" i="24"/>
  <c r="F6" i="24"/>
  <c r="F7" i="24"/>
  <c r="F8" i="24"/>
  <c r="F9" i="24"/>
  <c r="F10" i="24"/>
  <c r="F11" i="24"/>
  <c r="F12" i="24"/>
  <c r="F13" i="24"/>
  <c r="F14" i="24"/>
  <c r="F15" i="24"/>
  <c r="F16" i="24"/>
  <c r="F17" i="24"/>
  <c r="F18" i="24"/>
  <c r="T9" i="10" l="1"/>
  <c r="N9" i="10"/>
  <c r="I9" i="10"/>
  <c r="F9" i="10"/>
  <c r="T10" i="23" l="1"/>
  <c r="N10" i="23"/>
  <c r="I10" i="23"/>
  <c r="F10" i="23"/>
  <c r="N103" i="23" l="1"/>
  <c r="I103" i="23"/>
  <c r="H103" i="23"/>
  <c r="N102" i="23"/>
  <c r="I102" i="23"/>
  <c r="H102" i="23"/>
  <c r="N101" i="23"/>
  <c r="I101" i="23"/>
  <c r="H101" i="23"/>
  <c r="N100" i="23"/>
  <c r="I100" i="23"/>
  <c r="H100" i="23"/>
  <c r="N99" i="23"/>
  <c r="I99" i="23"/>
  <c r="H99" i="23"/>
  <c r="N98" i="23"/>
  <c r="I98" i="23"/>
  <c r="H98" i="23"/>
  <c r="N97" i="23"/>
  <c r="I97" i="23"/>
  <c r="H97" i="23"/>
  <c r="N96" i="23"/>
  <c r="I96" i="23"/>
  <c r="H96" i="23"/>
  <c r="N95" i="23"/>
  <c r="I95" i="23"/>
  <c r="H95" i="23"/>
  <c r="N94" i="23"/>
  <c r="I94" i="23"/>
  <c r="H94" i="23"/>
  <c r="N93" i="23"/>
  <c r="I93" i="23"/>
  <c r="H93" i="23"/>
  <c r="N92" i="23"/>
  <c r="I92" i="23"/>
  <c r="H92" i="23"/>
  <c r="N91" i="23"/>
  <c r="I91" i="23"/>
  <c r="H91" i="23"/>
  <c r="N90" i="23"/>
  <c r="I90" i="23"/>
  <c r="H90" i="23"/>
  <c r="N89" i="23"/>
  <c r="I89" i="23"/>
  <c r="H89" i="23"/>
  <c r="N88" i="23"/>
  <c r="I88" i="23"/>
  <c r="H88" i="23"/>
  <c r="N87" i="23"/>
  <c r="I87" i="23"/>
  <c r="H87" i="23"/>
  <c r="N86" i="23"/>
  <c r="I86" i="23"/>
  <c r="H86" i="23"/>
  <c r="N85" i="23"/>
  <c r="I85" i="23"/>
  <c r="H85" i="23"/>
  <c r="N84" i="23"/>
  <c r="I84" i="23"/>
  <c r="H84" i="23"/>
  <c r="N83" i="23"/>
  <c r="I83" i="23"/>
  <c r="H83" i="23"/>
  <c r="N82" i="23"/>
  <c r="I82" i="23"/>
  <c r="H82" i="23"/>
  <c r="N81" i="23"/>
  <c r="I81" i="23"/>
  <c r="H81" i="23"/>
  <c r="N80" i="23"/>
  <c r="I80" i="23"/>
  <c r="H80" i="23"/>
  <c r="N79" i="23"/>
  <c r="I79" i="23"/>
  <c r="H79" i="23"/>
  <c r="N78" i="23"/>
  <c r="I78" i="23"/>
  <c r="H78" i="23"/>
  <c r="N77" i="23"/>
  <c r="I77" i="23"/>
  <c r="H77" i="23"/>
  <c r="N76" i="23"/>
  <c r="I76" i="23"/>
  <c r="H76" i="23"/>
  <c r="N75" i="23"/>
  <c r="I75" i="23"/>
  <c r="H75" i="23"/>
  <c r="N74" i="23"/>
  <c r="I74" i="23"/>
  <c r="H74" i="23"/>
  <c r="N73" i="23"/>
  <c r="I73" i="23"/>
  <c r="H73" i="23"/>
  <c r="N72" i="23"/>
  <c r="I72" i="23"/>
  <c r="H72" i="23"/>
  <c r="N71" i="23"/>
  <c r="I71" i="23"/>
  <c r="H71" i="23"/>
  <c r="N70" i="23"/>
  <c r="I70" i="23"/>
  <c r="H70" i="23"/>
  <c r="N69" i="23"/>
  <c r="I69" i="23"/>
  <c r="H69" i="23"/>
  <c r="N68" i="23"/>
  <c r="I68" i="23"/>
  <c r="H68" i="23"/>
  <c r="N67" i="23"/>
  <c r="I67" i="23"/>
  <c r="H67" i="23"/>
  <c r="N66" i="23"/>
  <c r="I66" i="23"/>
  <c r="H66" i="23"/>
  <c r="N65" i="23"/>
  <c r="I65" i="23"/>
  <c r="H65" i="23"/>
  <c r="N64" i="23"/>
  <c r="I64" i="23"/>
  <c r="H64" i="23"/>
  <c r="N63" i="23"/>
  <c r="I63" i="23"/>
  <c r="H63" i="23"/>
  <c r="N62" i="23"/>
  <c r="I62" i="23"/>
  <c r="H62" i="23"/>
  <c r="N61" i="23"/>
  <c r="I61" i="23"/>
  <c r="H61" i="23"/>
  <c r="N60" i="23"/>
  <c r="I60" i="23"/>
  <c r="H60" i="23"/>
  <c r="N59" i="23"/>
  <c r="I59" i="23"/>
  <c r="H59" i="23"/>
  <c r="N58" i="23"/>
  <c r="I58" i="23"/>
  <c r="H58" i="23"/>
  <c r="N57" i="23"/>
  <c r="I57" i="23"/>
  <c r="H57" i="23"/>
  <c r="N56" i="23"/>
  <c r="I56" i="23"/>
  <c r="H56" i="23"/>
  <c r="N55" i="23"/>
  <c r="I55" i="23"/>
  <c r="H55" i="23"/>
  <c r="N54" i="23"/>
  <c r="I54" i="23"/>
  <c r="H54" i="23"/>
  <c r="N53" i="23"/>
  <c r="I53" i="23"/>
  <c r="H53" i="23"/>
  <c r="N52" i="23"/>
  <c r="I52" i="23"/>
  <c r="H52" i="23"/>
  <c r="N51" i="23"/>
  <c r="I51" i="23"/>
  <c r="H51" i="23"/>
  <c r="N50" i="23"/>
  <c r="I50" i="23"/>
  <c r="H50" i="23"/>
  <c r="N49" i="23"/>
  <c r="I49" i="23"/>
  <c r="H49" i="23"/>
  <c r="N48" i="23"/>
  <c r="I48" i="23"/>
  <c r="H48" i="23"/>
  <c r="N47" i="23"/>
  <c r="I47" i="23"/>
  <c r="H47" i="23"/>
  <c r="N46" i="23"/>
  <c r="I46" i="23"/>
  <c r="H46" i="23"/>
  <c r="N45" i="23"/>
  <c r="I45" i="23"/>
  <c r="H45" i="23"/>
  <c r="N44" i="23"/>
  <c r="I44" i="23"/>
  <c r="H44" i="23"/>
  <c r="N43" i="23"/>
  <c r="I43" i="23"/>
  <c r="H43" i="23"/>
  <c r="N42" i="23"/>
  <c r="I42" i="23"/>
  <c r="H42" i="23"/>
  <c r="N41" i="23"/>
  <c r="I41" i="23"/>
  <c r="H41" i="23"/>
  <c r="N40" i="23"/>
  <c r="I40" i="23"/>
  <c r="H40" i="23"/>
  <c r="N39" i="23"/>
  <c r="I39" i="23"/>
  <c r="H39" i="23"/>
  <c r="N38" i="23"/>
  <c r="I38" i="23"/>
  <c r="H38" i="23"/>
  <c r="N37" i="23"/>
  <c r="I37" i="23"/>
  <c r="H37" i="23"/>
  <c r="N36" i="23"/>
  <c r="I36" i="23"/>
  <c r="H36" i="23"/>
  <c r="N35" i="23"/>
  <c r="I35" i="23"/>
  <c r="H35" i="23"/>
  <c r="N34" i="23"/>
  <c r="I34" i="23"/>
  <c r="H34" i="23"/>
  <c r="N33" i="23"/>
  <c r="I33" i="23"/>
  <c r="H33" i="23"/>
  <c r="N32" i="23"/>
  <c r="I32" i="23"/>
  <c r="H32" i="23"/>
  <c r="N31" i="23"/>
  <c r="I31" i="23"/>
  <c r="H31" i="23"/>
  <c r="N30" i="23"/>
  <c r="I30" i="23"/>
  <c r="H30" i="23"/>
  <c r="N29" i="23"/>
  <c r="I29" i="23"/>
  <c r="H29" i="23"/>
  <c r="N28" i="23"/>
  <c r="I28" i="23"/>
  <c r="H28" i="23"/>
  <c r="N27" i="23"/>
  <c r="I27" i="23"/>
  <c r="H27" i="23"/>
  <c r="T26" i="23"/>
  <c r="N26" i="23"/>
  <c r="I26" i="23"/>
  <c r="F26" i="23"/>
  <c r="T25" i="23"/>
  <c r="N25" i="23"/>
  <c r="I25" i="23"/>
  <c r="F25" i="23"/>
  <c r="T24" i="23"/>
  <c r="N24" i="23"/>
  <c r="I24" i="23"/>
  <c r="F24" i="23"/>
  <c r="T23" i="23"/>
  <c r="N23" i="23"/>
  <c r="I23" i="23"/>
  <c r="F23" i="23"/>
  <c r="T22" i="23"/>
  <c r="N22" i="23"/>
  <c r="I22" i="23"/>
  <c r="F22" i="23"/>
  <c r="T21" i="23"/>
  <c r="N21" i="23"/>
  <c r="I21" i="23"/>
  <c r="F21" i="23"/>
  <c r="T20" i="23"/>
  <c r="N20" i="23"/>
  <c r="I20" i="23"/>
  <c r="F20" i="23"/>
  <c r="T19" i="23"/>
  <c r="N19" i="23"/>
  <c r="I19" i="23"/>
  <c r="F19" i="23"/>
  <c r="T18" i="23"/>
  <c r="N18" i="23"/>
  <c r="I18" i="23"/>
  <c r="F18" i="23"/>
  <c r="T17" i="23"/>
  <c r="N17" i="23"/>
  <c r="I17" i="23"/>
  <c r="F17" i="23"/>
  <c r="T16" i="23"/>
  <c r="N16" i="23"/>
  <c r="I16" i="23"/>
  <c r="F16" i="23"/>
  <c r="T15" i="23"/>
  <c r="N15" i="23"/>
  <c r="I15" i="23"/>
  <c r="F15" i="23"/>
  <c r="T14" i="23"/>
  <c r="N14" i="23"/>
  <c r="I14" i="23"/>
  <c r="F14" i="23"/>
  <c r="T13" i="23"/>
  <c r="N13" i="23"/>
  <c r="I13" i="23"/>
  <c r="F13" i="23"/>
  <c r="T12" i="23"/>
  <c r="N12" i="23"/>
  <c r="I12" i="23"/>
  <c r="F12" i="23"/>
  <c r="T11" i="23"/>
  <c r="N11" i="23"/>
  <c r="I11" i="23"/>
  <c r="F11" i="23"/>
  <c r="T9" i="23"/>
  <c r="N9" i="23"/>
  <c r="I9" i="23"/>
  <c r="F9" i="23"/>
  <c r="T42" i="10" l="1"/>
  <c r="N42" i="10"/>
  <c r="I42" i="10"/>
  <c r="F42" i="10"/>
  <c r="N119" i="10" l="1"/>
  <c r="I119" i="10"/>
  <c r="H119" i="10"/>
  <c r="N118" i="10"/>
  <c r="I118" i="10"/>
  <c r="H118" i="10"/>
  <c r="N117" i="10"/>
  <c r="I117" i="10"/>
  <c r="H117" i="10"/>
  <c r="N116" i="10"/>
  <c r="I116" i="10"/>
  <c r="H116" i="10"/>
  <c r="N115" i="10"/>
  <c r="I115" i="10"/>
  <c r="H115" i="10"/>
  <c r="N114" i="10"/>
  <c r="I114" i="10"/>
  <c r="H114" i="10"/>
  <c r="N113" i="10"/>
  <c r="I113" i="10"/>
  <c r="H113" i="10"/>
  <c r="N112" i="10"/>
  <c r="I112" i="10"/>
  <c r="H112" i="10"/>
  <c r="N111" i="10"/>
  <c r="I111" i="10"/>
  <c r="H111" i="10"/>
  <c r="N110" i="10"/>
  <c r="I110" i="10"/>
  <c r="H110" i="10"/>
  <c r="N109" i="10"/>
  <c r="I109" i="10"/>
  <c r="H109" i="10"/>
  <c r="N108" i="10"/>
  <c r="I108" i="10"/>
  <c r="H108" i="10"/>
  <c r="N107" i="10"/>
  <c r="I107" i="10"/>
  <c r="H107" i="10"/>
  <c r="N106" i="10"/>
  <c r="I106" i="10"/>
  <c r="H106" i="10"/>
  <c r="N105" i="10"/>
  <c r="I105" i="10"/>
  <c r="H105" i="10"/>
  <c r="N104" i="10"/>
  <c r="I104" i="10"/>
  <c r="H104" i="10"/>
  <c r="N103" i="10"/>
  <c r="I103" i="10"/>
  <c r="H103" i="10"/>
  <c r="N102" i="10"/>
  <c r="I102" i="10"/>
  <c r="H102" i="10"/>
  <c r="N101" i="10"/>
  <c r="I101" i="10"/>
  <c r="H101" i="10"/>
  <c r="N100" i="10"/>
  <c r="I100" i="10"/>
  <c r="H100" i="10"/>
  <c r="N99" i="10"/>
  <c r="I99" i="10"/>
  <c r="H99" i="10"/>
  <c r="N98" i="10"/>
  <c r="I98" i="10"/>
  <c r="H98" i="10"/>
  <c r="N97" i="10"/>
  <c r="I97" i="10"/>
  <c r="H97" i="10"/>
  <c r="N96" i="10"/>
  <c r="I96" i="10"/>
  <c r="H96" i="10"/>
  <c r="N95" i="10"/>
  <c r="I95" i="10"/>
  <c r="H95" i="10"/>
  <c r="N94" i="10"/>
  <c r="I94" i="10"/>
  <c r="H94" i="10"/>
  <c r="N93" i="10"/>
  <c r="I93" i="10"/>
  <c r="H93" i="10"/>
  <c r="N92" i="10"/>
  <c r="I92" i="10"/>
  <c r="H92" i="10"/>
  <c r="N91" i="10"/>
  <c r="I91" i="10"/>
  <c r="H91" i="10"/>
  <c r="N90" i="10"/>
  <c r="I90" i="10"/>
  <c r="H90" i="10"/>
  <c r="N89" i="10"/>
  <c r="I89" i="10"/>
  <c r="H89" i="10"/>
  <c r="N88" i="10"/>
  <c r="I88" i="10"/>
  <c r="H88" i="10"/>
  <c r="N87" i="10"/>
  <c r="I87" i="10"/>
  <c r="H87" i="10"/>
  <c r="N86" i="10"/>
  <c r="I86" i="10"/>
  <c r="H86" i="10"/>
  <c r="N85" i="10"/>
  <c r="I85" i="10"/>
  <c r="H85" i="10"/>
  <c r="N84" i="10"/>
  <c r="I84" i="10"/>
  <c r="H84" i="10"/>
  <c r="N83" i="10"/>
  <c r="I83" i="10"/>
  <c r="H83" i="10"/>
  <c r="N82" i="10"/>
  <c r="I82" i="10"/>
  <c r="H82" i="10"/>
  <c r="N81" i="10"/>
  <c r="I81" i="10"/>
  <c r="H81" i="10"/>
  <c r="N80" i="10"/>
  <c r="I80" i="10"/>
  <c r="H80" i="10"/>
  <c r="N79" i="10"/>
  <c r="I79" i="10"/>
  <c r="H79" i="10"/>
  <c r="N78" i="10"/>
  <c r="I78" i="10"/>
  <c r="H78" i="10"/>
  <c r="N77" i="10"/>
  <c r="I77" i="10"/>
  <c r="H77" i="10"/>
  <c r="N76" i="10"/>
  <c r="I76" i="10"/>
  <c r="H76" i="10"/>
  <c r="N75" i="10"/>
  <c r="I75" i="10"/>
  <c r="H75" i="10"/>
  <c r="N74" i="10"/>
  <c r="I74" i="10"/>
  <c r="H74" i="10"/>
  <c r="N73" i="10"/>
  <c r="I73" i="10"/>
  <c r="H73" i="10"/>
  <c r="N72" i="10"/>
  <c r="I72" i="10"/>
  <c r="H72" i="10"/>
  <c r="N71" i="10"/>
  <c r="I71" i="10"/>
  <c r="H71" i="10"/>
  <c r="N70" i="10"/>
  <c r="I70" i="10"/>
  <c r="H70" i="10"/>
  <c r="N69" i="10"/>
  <c r="I69" i="10"/>
  <c r="H69" i="10"/>
  <c r="N68" i="10"/>
  <c r="I68" i="10"/>
  <c r="H68" i="10"/>
  <c r="N67" i="10"/>
  <c r="I67" i="10"/>
  <c r="H67" i="10"/>
  <c r="N66" i="10"/>
  <c r="I66" i="10"/>
  <c r="H66" i="10"/>
  <c r="N65" i="10"/>
  <c r="I65" i="10"/>
  <c r="H65" i="10"/>
  <c r="N64" i="10"/>
  <c r="I64" i="10"/>
  <c r="H64" i="10"/>
  <c r="N63" i="10"/>
  <c r="I63" i="10"/>
  <c r="H63" i="10"/>
  <c r="N62" i="10"/>
  <c r="I62" i="10"/>
  <c r="H62" i="10"/>
  <c r="N61" i="10"/>
  <c r="I61" i="10"/>
  <c r="H61" i="10"/>
  <c r="N60" i="10"/>
  <c r="I60" i="10"/>
  <c r="H60" i="10"/>
  <c r="N59" i="10"/>
  <c r="I59" i="10"/>
  <c r="H59" i="10"/>
  <c r="N58" i="10"/>
  <c r="I58" i="10"/>
  <c r="H58" i="10"/>
  <c r="N57" i="10"/>
  <c r="I57" i="10"/>
  <c r="H57" i="10"/>
  <c r="N56" i="10"/>
  <c r="I56" i="10"/>
  <c r="H56" i="10"/>
  <c r="N55" i="10"/>
  <c r="I55" i="10"/>
  <c r="H55" i="10"/>
  <c r="N54" i="10"/>
  <c r="I54" i="10"/>
  <c r="H54" i="10"/>
  <c r="N53" i="10"/>
  <c r="I53" i="10"/>
  <c r="H53" i="10"/>
  <c r="N52" i="10"/>
  <c r="I52" i="10"/>
  <c r="H52" i="10"/>
  <c r="N51" i="10"/>
  <c r="I51" i="10"/>
  <c r="H51" i="10"/>
  <c r="N50" i="10"/>
  <c r="I50" i="10"/>
  <c r="H50" i="10"/>
  <c r="N49" i="10"/>
  <c r="I49" i="10"/>
  <c r="H49" i="10"/>
  <c r="N48" i="10"/>
  <c r="I48" i="10"/>
  <c r="H48" i="10"/>
  <c r="N47" i="10"/>
  <c r="I47" i="10"/>
  <c r="H47" i="10"/>
  <c r="N46" i="10"/>
  <c r="I46" i="10"/>
  <c r="H46" i="10"/>
  <c r="N45" i="10"/>
  <c r="I45" i="10"/>
  <c r="H45" i="10"/>
  <c r="N44" i="10"/>
  <c r="I44" i="10"/>
  <c r="H44" i="10"/>
  <c r="N43" i="10"/>
  <c r="I43" i="10"/>
  <c r="H43" i="10"/>
</calcChain>
</file>

<file path=xl/connections.xml><?xml version="1.0" encoding="utf-8"?>
<connections xmlns="http://schemas.openxmlformats.org/spreadsheetml/2006/main">
  <connection id="1" sourceFile="I:\Engineering\Refrigeration\RefData\Refrigeration Data.mdb" keepAlive="1" name="Refrigeration Data" type="5" refreshedVersion="4" background="1" refreshOnLoad="1" saveData="1">
    <dbPr connection="Provider=Microsoft.ACE.OLEDB.12.0;User ID=Admin;Data Source=I:\Engineering\Refrigeration\RefData\Refrigeration Data.mdb;Mode=Read;Extended Properties=&quot;&quot;;Jet OLEDB:System database=&quot;&quot;;Jet OLEDB:Registry Path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Refrigeration Material" commandType="3"/>
  </connection>
  <connection id="2" sourceFile="I:\Engineering\Refrigeration\RefData\Refrigeration Data.mdb" keepAlive="1" name="Refrigeration Data1" type="5" refreshedVersion="4" background="1" saveData="1">
    <dbPr connection="Provider=Microsoft.ACE.OLEDB.12.0;User ID=Admin;Data Source=I:\Engineering\Refrigeration\RefData\Refrigeration Data.mdb;Mode=Share Deny Write;Extended Properties=&quot;&quot;;Jet OLEDB:System database=&quot;&quot;;Jet OLEDB:Registry Path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Voltage Codes" commandType="3"/>
  </connection>
</connections>
</file>

<file path=xl/sharedStrings.xml><?xml version="1.0" encoding="utf-8"?>
<sst xmlns="http://schemas.openxmlformats.org/spreadsheetml/2006/main" count="9622" uniqueCount="4656">
  <si>
    <t>ITEM</t>
  </si>
  <si>
    <t>I.D. NO.</t>
  </si>
  <si>
    <t>QTY.</t>
  </si>
  <si>
    <t>DESCRIPTION</t>
  </si>
  <si>
    <t>CUSTOMER:</t>
  </si>
  <si>
    <t>PREPARED BY:</t>
  </si>
  <si>
    <t>MODEL NO.:</t>
  </si>
  <si>
    <t>SCHEMATIC NO.:</t>
  </si>
  <si>
    <t>VOLTAGE:</t>
  </si>
  <si>
    <t>B.O.M. #:</t>
  </si>
  <si>
    <t>REV. LETTER:</t>
  </si>
  <si>
    <t>- = RECOMMENDED SPARE PARTS</t>
  </si>
  <si>
    <t>VENDOR</t>
  </si>
  <si>
    <t>VENDOR PART NO.</t>
  </si>
  <si>
    <t/>
  </si>
  <si>
    <t>ID</t>
  </si>
  <si>
    <t>ID Number</t>
  </si>
  <si>
    <t>Description</t>
  </si>
  <si>
    <t>Vendor Name</t>
  </si>
  <si>
    <t>Vendor Part Number</t>
  </si>
  <si>
    <t>Material Cost</t>
  </si>
  <si>
    <t>Vendor ID</t>
  </si>
  <si>
    <t>Specification Sheet</t>
  </si>
  <si>
    <t>Price Updated (Date)</t>
  </si>
  <si>
    <t>00005</t>
  </si>
  <si>
    <t>BRACKET, MTG,CASCADE COND.,16GA S/S</t>
  </si>
  <si>
    <t>CINCINNATI SUB-ZERO</t>
  </si>
  <si>
    <t>CSZ FAB</t>
  </si>
  <si>
    <t>00006</t>
  </si>
  <si>
    <t>CONDENSER, AIR COOLED</t>
  </si>
  <si>
    <t>MODINE GRENADA LLC</t>
  </si>
  <si>
    <t>3CZ1003B-14.00 X 18.00</t>
  </si>
  <si>
    <t>HEACR</t>
  </si>
  <si>
    <t>00007</t>
  </si>
  <si>
    <t>BRACKET, ANGLE,HI-LO PRESS.CTRL (1054)</t>
  </si>
  <si>
    <t>DANFOSS AUTOMATIC CONTROL</t>
  </si>
  <si>
    <t>060-105366</t>
  </si>
  <si>
    <t>DANIN</t>
  </si>
  <si>
    <t>00009</t>
  </si>
  <si>
    <t>COMPRESSOR, 220/1/50, R134A</t>
  </si>
  <si>
    <t>EMERSON CLIMATE TECHNOLOGIES INC</t>
  </si>
  <si>
    <t>ARE37C3E-IAV-201</t>
  </si>
  <si>
    <t>COPCO</t>
  </si>
  <si>
    <t>00014</t>
  </si>
  <si>
    <t>CONDENSER, AIR COOLED, Z-8 (4 ROW)</t>
  </si>
  <si>
    <t>3CZ1004B-15X22</t>
  </si>
  <si>
    <t>00017</t>
  </si>
  <si>
    <t>CONDENSER, AIR COOLED, FLEXSTAR</t>
  </si>
  <si>
    <t>3CZ0804B-20.00 X 15.00</t>
  </si>
  <si>
    <t>00026</t>
  </si>
  <si>
    <t>CONDENSER, AIR COOLED, Z16/Z32</t>
  </si>
  <si>
    <t>3CY1004D-15 X 30</t>
  </si>
  <si>
    <t>00034</t>
  </si>
  <si>
    <t>COMPRESSOR, HERMETIC,1/3HP,115V</t>
  </si>
  <si>
    <t>AFE13C3E-IAA-201</t>
  </si>
  <si>
    <t>00040</t>
  </si>
  <si>
    <t>CONDENSER, AIR COOLED, 3.5HP, ZP-LINE</t>
  </si>
  <si>
    <t>3CZ1006B-28.00 X 23.00</t>
  </si>
  <si>
    <t>00041</t>
  </si>
  <si>
    <t>BRACKET, MTG SINGLE, UNIV.#2 FILTER</t>
  </si>
  <si>
    <t>EVOQUA WATER TECHNOLOGIES LLC</t>
  </si>
  <si>
    <t>3C1200001</t>
  </si>
  <si>
    <t>USFIL</t>
  </si>
  <si>
    <t>00046</t>
  </si>
  <si>
    <t>COMPRESSOR,SEMI-HERMETIC, 1HP</t>
  </si>
  <si>
    <t>KAJA-011E-TAC-222</t>
  </si>
  <si>
    <t>00052</t>
  </si>
  <si>
    <t>OBSOLETE, COMPRESSOR, SEMI-HERMC,1HP,460V</t>
  </si>
  <si>
    <t>KAKI0100TAD-220</t>
  </si>
  <si>
    <t>00053</t>
  </si>
  <si>
    <t>OBSOLETE, COMPRESSOR, HERMETIC, 1HP,208/230-1-60</t>
  </si>
  <si>
    <t>RF41C1E-CAV-210</t>
  </si>
  <si>
    <t>00055</t>
  </si>
  <si>
    <t>COMPRESSOR, SEMI-HERMETIC, 1HP</t>
  </si>
  <si>
    <t>KAJA-011E-TAD-220</t>
  </si>
  <si>
    <t>00056</t>
  </si>
  <si>
    <t>OBSOLETE, HERMETIC, COMPESSOR, 220V/50HZ, 1PH, 1/2</t>
  </si>
  <si>
    <t>AFT26C1E-CFZ-201</t>
  </si>
  <si>
    <t>00057</t>
  </si>
  <si>
    <t>OBSOLETE, HERMETIC, COMPRESSOR, 1HP, 208/230-1-60</t>
  </si>
  <si>
    <t>RF41C1E-CAV-205</t>
  </si>
  <si>
    <t>00058</t>
  </si>
  <si>
    <t>COMPRESSOR, HERMETIC, 0.33HP, 220-240V/1/50</t>
  </si>
  <si>
    <t>AFE13C3E-IAZ-201</t>
  </si>
  <si>
    <t>00059</t>
  </si>
  <si>
    <t>COMPRESSOR, HERMETIC, 208-230V-1-60 (200V-1-50)</t>
  </si>
  <si>
    <t>RFT26C1E-CAV-201</t>
  </si>
  <si>
    <t>00060</t>
  </si>
  <si>
    <t>CONDENSER, AIR COOLED, CC-750-S</t>
  </si>
  <si>
    <t>3CZ1008B-24 X 44</t>
  </si>
  <si>
    <t>00061</t>
  </si>
  <si>
    <t>RFT26C1E-CAB-201</t>
  </si>
  <si>
    <t>00062</t>
  </si>
  <si>
    <t>CONDENSER, AIR COOLED, Z(H)-16-305-SCT/AC</t>
  </si>
  <si>
    <t>3CY1004D-24.00 X 30.00</t>
  </si>
  <si>
    <t>00064</t>
  </si>
  <si>
    <t>CONDENSER, AIR COOLED, Z(H)-32-305-SCT/AC</t>
  </si>
  <si>
    <t>3CY1004-16.00 X 41.00</t>
  </si>
  <si>
    <t>00066</t>
  </si>
  <si>
    <t>COMPRESSOR, HERMETIC, COPELAND, 115V</t>
  </si>
  <si>
    <t>AFE11C3E-IAA-201</t>
  </si>
  <si>
    <t>00067</t>
  </si>
  <si>
    <t>COMPRESSOR, HERMETIC, COPELAND, 230V</t>
  </si>
  <si>
    <t>AFE11C3E-IAZ-201</t>
  </si>
  <si>
    <t>00083</t>
  </si>
  <si>
    <t>COMPRESSOR, HERM, HI STAGE, 208/230-1-60</t>
  </si>
  <si>
    <t>RFT42C1E-PFV-202</t>
  </si>
  <si>
    <t>00084</t>
  </si>
  <si>
    <t>COMPRESSOR, 1 HP, HERMETIC, 208-230V, 1 PHASE, 60 HZ</t>
  </si>
  <si>
    <t>RFT42C1E-PFV-282</t>
  </si>
  <si>
    <t>00090</t>
  </si>
  <si>
    <t>CONDENSER, AIR COOLED, 2HP, ZP-LINE</t>
  </si>
  <si>
    <t>3CZ1004B-28.00 X 23.00</t>
  </si>
  <si>
    <t>00090-44</t>
  </si>
  <si>
    <t>DESUPERHEATER, AIR COOLED, 2HP ZP-LINE, LOW STAGE 16 TUBES</t>
  </si>
  <si>
    <t>PART OF 00090</t>
  </si>
  <si>
    <t>00091</t>
  </si>
  <si>
    <t>CONDENSER, AIR COOLED, MC(H)-3</t>
  </si>
  <si>
    <t>SUPER RADIATOR COILS</t>
  </si>
  <si>
    <t>15.00 X 17.00-4R-38/120</t>
  </si>
  <si>
    <t>SUPRA</t>
  </si>
  <si>
    <t>00100</t>
  </si>
  <si>
    <t>BRACKET, MTG.,TANK, 6B</t>
  </si>
  <si>
    <t>WESTERMEYER INDUSTRIES INC</t>
  </si>
  <si>
    <t>BK-06B</t>
  </si>
  <si>
    <t>WESTI</t>
  </si>
  <si>
    <t>00105</t>
  </si>
  <si>
    <t>BRACKET, MTG., TANK, 6A</t>
  </si>
  <si>
    <t>BK-06A</t>
  </si>
  <si>
    <t>00107</t>
  </si>
  <si>
    <t>BRACKET, MTG, TANK, 7B</t>
  </si>
  <si>
    <t>STANDARD REFRIGERATION / ALFA LAVAL</t>
  </si>
  <si>
    <t>7B</t>
  </si>
  <si>
    <t>STARE</t>
  </si>
  <si>
    <t>00110</t>
  </si>
  <si>
    <t>BRACKET, MTG, TANK, 8B</t>
  </si>
  <si>
    <t>BK-08A</t>
  </si>
  <si>
    <t>00111</t>
  </si>
  <si>
    <t>COMPRESSOR, 1.5/230V</t>
  </si>
  <si>
    <t>KALA0150TAC-241</t>
  </si>
  <si>
    <t>00112</t>
  </si>
  <si>
    <t>COMPRESSOR,SEMI-HERMETIC, 1.5HP</t>
  </si>
  <si>
    <t>KALA-016E-TAC-225</t>
  </si>
  <si>
    <t>00113</t>
  </si>
  <si>
    <t>COMPRESSOR,SEMI-HERMETIC,1.5 HP</t>
  </si>
  <si>
    <t>KALA-016E-TAD-221</t>
  </si>
  <si>
    <t>00114</t>
  </si>
  <si>
    <t>COMPRESSOR, 1.5HP,460V</t>
  </si>
  <si>
    <t>KALA0150TAD-215</t>
  </si>
  <si>
    <t>00115</t>
  </si>
  <si>
    <t>BRACKET, MTG, TANK, 10B</t>
  </si>
  <si>
    <t>BK-10B</t>
  </si>
  <si>
    <t>00118</t>
  </si>
  <si>
    <t>BRACKET, MTG, 12B</t>
  </si>
  <si>
    <t>BK-12B</t>
  </si>
  <si>
    <t>00140</t>
  </si>
  <si>
    <t>COMPRESSOR, HERMETIC, 2HP, 230V</t>
  </si>
  <si>
    <t>CS27K6E-PFV-24S</t>
  </si>
  <si>
    <t>00142</t>
  </si>
  <si>
    <t>COMPRESSOR, HERMETIC, 208/230-1-60</t>
  </si>
  <si>
    <t>CF09K6E-PFV-247</t>
  </si>
  <si>
    <t>00145</t>
  </si>
  <si>
    <t>COMPRESSOR, HERMETIC, 2HP, 230-1-50HZ,ZP-04</t>
  </si>
  <si>
    <t>CS27K6E-PFZ-238</t>
  </si>
  <si>
    <t>00147</t>
  </si>
  <si>
    <t>COMPRESSOR, HERMETIC, HIGH STAGE, 1HP</t>
  </si>
  <si>
    <t>RFT42C1E-PFZ-201</t>
  </si>
  <si>
    <t>00148</t>
  </si>
  <si>
    <t>COMPRESSOR, HERMETIC, LOW STAGE 1HP</t>
  </si>
  <si>
    <t>RFT42C1E-PFZ-282</t>
  </si>
  <si>
    <t>00150</t>
  </si>
  <si>
    <t>COMPRESSOR, HERMETIC, 1.5HP, 460V</t>
  </si>
  <si>
    <t>CF06K6E-TFD-245</t>
  </si>
  <si>
    <t>00152</t>
  </si>
  <si>
    <t>COMPRESSOR, HERMETIC, 460-3-60 380/400-3-50</t>
  </si>
  <si>
    <t>CF09K6E-TFD-245</t>
  </si>
  <si>
    <t>00161</t>
  </si>
  <si>
    <t>COMPRESSOR,SEMI-HERMETIC,2HP</t>
  </si>
  <si>
    <t>EAVA-021E-TAD-221</t>
  </si>
  <si>
    <t>00169</t>
  </si>
  <si>
    <t>COMPRESSOR, HERMETIC,  3HP, 460V</t>
  </si>
  <si>
    <t>CS33K3E-TFD-281</t>
  </si>
  <si>
    <t>00170</t>
  </si>
  <si>
    <t>COMPRESSOR, 3HP, HERMETIC,200-230/3/60</t>
  </si>
  <si>
    <t>CF12K6E-TF5-247</t>
  </si>
  <si>
    <t>00171</t>
  </si>
  <si>
    <t>COMPRESSOR,HERMETIC, 3HP, 460/3/60</t>
  </si>
  <si>
    <t>CF12K6E-TFD-285</t>
  </si>
  <si>
    <t>00172</t>
  </si>
  <si>
    <t>COMPRESSOR, SCROLL, 2HP, 460V-3-60HZ (380V-3-50HZ)</t>
  </si>
  <si>
    <t>ZF06K4E-TFD-231</t>
  </si>
  <si>
    <t>00173</t>
  </si>
  <si>
    <t>COMPRESSOR, SCROLL, 2 HP, 208-230V-1-60HZ (200V-1-50HZ)</t>
  </si>
  <si>
    <t>ZF06K4E-PFV-231</t>
  </si>
  <si>
    <t>00174</t>
  </si>
  <si>
    <t>COMPRESSOR,SCROLL,3.5HP, 208-230V-1-60HZ (200V-1-50HZ)</t>
  </si>
  <si>
    <t>ZF11K4E-PFV-231</t>
  </si>
  <si>
    <t>00176</t>
  </si>
  <si>
    <t>COMPRESSOR, SCROLL, 3.5HP, 230V-3PH, ZP-LINE</t>
  </si>
  <si>
    <t>ZF11K4E-TF5-231</t>
  </si>
  <si>
    <t>00177</t>
  </si>
  <si>
    <t>COMPRESSOR, 3.5 HP SCROLL, 460V-3PH-60HZ</t>
  </si>
  <si>
    <t>ZF11K4E-TFD-231</t>
  </si>
  <si>
    <t>00178</t>
  </si>
  <si>
    <t>COMPRESSOR,5 HP,SCROLL,208/230-1-60</t>
  </si>
  <si>
    <t>ZF15K4E-PFV-266</t>
  </si>
  <si>
    <t>00179</t>
  </si>
  <si>
    <t>2HP SCROLL COMPRESSOR 460V/3/60-380/3/50</t>
  </si>
  <si>
    <t>ZF06K4E-TFD-236</t>
  </si>
  <si>
    <t>00180</t>
  </si>
  <si>
    <t>COMPRESSOR,SCROLL,3.5HP,410A,HIGH TEMP</t>
  </si>
  <si>
    <t>ZP41K3E-PFJ-230</t>
  </si>
  <si>
    <t>00185</t>
  </si>
  <si>
    <t>COMPRESSOR, 6HP, SCROLL,208/230V</t>
  </si>
  <si>
    <t>ZF18K4E-TF5-261</t>
  </si>
  <si>
    <t>00190</t>
  </si>
  <si>
    <t>COMPRESSOR, 6HP, SCROLL, 460V</t>
  </si>
  <si>
    <t>ZF18K4E-TFD-261</t>
  </si>
  <si>
    <t>VALVE, DISCHARGE SERVICE</t>
  </si>
  <si>
    <t>00191</t>
  </si>
  <si>
    <t>COMPRESSOR, 7.5HP, SCROLL, 460V</t>
  </si>
  <si>
    <t>ZF25K4E-TFD-261</t>
  </si>
  <si>
    <t>00192</t>
  </si>
  <si>
    <t>COMPRESSOR, SEMI-HERMETIC, 3HP,230V</t>
  </si>
  <si>
    <t>2DF3F16KE-TFC-211</t>
  </si>
  <si>
    <t>00197</t>
  </si>
  <si>
    <t>COMPRESSOR, SEMI-HERMETIC, 3HP,460V</t>
  </si>
  <si>
    <t>2DF3F16KE-TFD-C10</t>
  </si>
  <si>
    <t>00202</t>
  </si>
  <si>
    <t>COIL, FIN, EVAPORATOR, STH-24</t>
  </si>
  <si>
    <t>00205</t>
  </si>
  <si>
    <t>COIL, FIN, EVAP.,OFF CENTER</t>
  </si>
  <si>
    <t>PEERLESS</t>
  </si>
  <si>
    <t>G9C-35</t>
  </si>
  <si>
    <t>PEEAM</t>
  </si>
  <si>
    <t>00221</t>
  </si>
  <si>
    <t>COIL, FIN, EVAP. V6</t>
  </si>
  <si>
    <t>3CZ0401K-17 X 27</t>
  </si>
  <si>
    <t>00225</t>
  </si>
  <si>
    <t>COIL, FIN, EVAP., V9FC</t>
  </si>
  <si>
    <t>00237</t>
  </si>
  <si>
    <t>COIL, FIN, EVAP.,11.25 X 25.00, 6HP</t>
  </si>
  <si>
    <t>3EZ0808H-11.25 X 25.00</t>
  </si>
  <si>
    <t>00238</t>
  </si>
  <si>
    <t>COIL, FIN, EVAP.,12.00 X 19.00, 3HP</t>
  </si>
  <si>
    <t>3EZ0808C-12.00 X 19.00</t>
  </si>
  <si>
    <t>00238-51</t>
  </si>
  <si>
    <t>DISTRIBUTOR, LIQUID REFRIGERANT - 6 FEEDS</t>
  </si>
  <si>
    <t>'4-3-6</t>
  </si>
  <si>
    <t>00239</t>
  </si>
  <si>
    <t>COIL, FIN, EVAP.,12.00 X 33.00, 7.5HP</t>
  </si>
  <si>
    <t>4EZ0808H-12.00 X 33.00</t>
  </si>
  <si>
    <t>00239-A</t>
  </si>
  <si>
    <t>DISTRIBUTOR, LIQUID REFRIGERANT</t>
  </si>
  <si>
    <t>'5-4-8</t>
  </si>
  <si>
    <t>00240</t>
  </si>
  <si>
    <t>CONDENSING UNIT, .33HP, 115V.-1PH, BENCHTOP</t>
  </si>
  <si>
    <t>M4PL-0039-1AA-141</t>
  </si>
  <si>
    <t>00241</t>
  </si>
  <si>
    <t>CONDENSING UNIT, 1/3 HP,115VAC. 1PH</t>
  </si>
  <si>
    <t>M4FL-0049-IAA-141</t>
  </si>
  <si>
    <t>00242</t>
  </si>
  <si>
    <t>CONDENSING UNIT, 1.5 HP, HERMETIC, 208-230V, 1-PHASE, 60 HZ</t>
  </si>
  <si>
    <t>FJAL-B200-CFV-020</t>
  </si>
  <si>
    <t>00242-1</t>
  </si>
  <si>
    <t>COMPRESSOR, 1.5HP, HERMETIC, 208/230, 1/3-PHASE</t>
  </si>
  <si>
    <t>CF06K6E-PFV-24S</t>
  </si>
  <si>
    <t>00242-100</t>
  </si>
  <si>
    <t>SWITCH, PRESSURE, DUAL HI-LO</t>
  </si>
  <si>
    <t>PART OF 00242</t>
  </si>
  <si>
    <t>00242-15</t>
  </si>
  <si>
    <t>VALVE, SUCTION SERVICE</t>
  </si>
  <si>
    <t>00242-22</t>
  </si>
  <si>
    <t>RECEIVER, LIQUID REFRIGERANT</t>
  </si>
  <si>
    <t>00242-6</t>
  </si>
  <si>
    <t>VALVE, RECEIVER LIQUID OUT</t>
  </si>
  <si>
    <t>00242-96</t>
  </si>
  <si>
    <t>MOTOR, CONDENSER</t>
  </si>
  <si>
    <t>00243</t>
  </si>
  <si>
    <t>CONDENSING UNIT, 3HP, 230V/1/60 (200V/1/50)</t>
  </si>
  <si>
    <t>FJAL-B301-CFV-020</t>
  </si>
  <si>
    <t>00246</t>
  </si>
  <si>
    <t>COMPRESSOR, SEMI-HERMETIC, 6HP,230V</t>
  </si>
  <si>
    <t>2DA3F23KE-TFC-C10</t>
  </si>
  <si>
    <t>00246-A</t>
  </si>
  <si>
    <t>VALVE, DISCHARGE SERVICE VALVE 7/8" ODS (PART OF 00246)</t>
  </si>
  <si>
    <t>998-0510-12</t>
  </si>
  <si>
    <t>00246-D</t>
  </si>
  <si>
    <t>SAFETY, OIL PRESSURE (PART OF CORESENSE - 00246)</t>
  </si>
  <si>
    <t>N/A</t>
  </si>
  <si>
    <t>00246-G</t>
  </si>
  <si>
    <t>VALVE, SUCTION SERVICE VALVE 1-3/8" ODS (PART OF 00246)</t>
  </si>
  <si>
    <t>998-0510-11</t>
  </si>
  <si>
    <t>00248</t>
  </si>
  <si>
    <t>CONDENSING UNIT, 1/2HP, 220/240V, 50HZ</t>
  </si>
  <si>
    <t>M4FL-0067-CFZ-312</t>
  </si>
  <si>
    <t>00250</t>
  </si>
  <si>
    <t>CONDENSING UNIT .33HOP 220-240V/1/50</t>
  </si>
  <si>
    <t>M4PL-0039-IAZ-341</t>
  </si>
  <si>
    <t>00251</t>
  </si>
  <si>
    <t>COMPRESSOR, SEMI-HERMETIC, 6HP, 460V</t>
  </si>
  <si>
    <t>2DA3F23KE-TFD-C10</t>
  </si>
  <si>
    <t>00256</t>
  </si>
  <si>
    <t>COIL, FIN, EVAP. TSB-2</t>
  </si>
  <si>
    <t>3EZ0506R-12.00 X 9.00</t>
  </si>
  <si>
    <t>00259</t>
  </si>
  <si>
    <t>COIL, FIN, EVAP.,18.X 18.-4R-38/72, T-13</t>
  </si>
  <si>
    <t>18X18-4R-38/72</t>
  </si>
  <si>
    <t>00261</t>
  </si>
  <si>
    <t>COIL, FIN, EVAP.,22.5 X 22. -8R-12/72, T</t>
  </si>
  <si>
    <t>4EZ0608A-22.5X22   968756D</t>
  </si>
  <si>
    <t>00261-A</t>
  </si>
  <si>
    <t>'7-5-6</t>
  </si>
  <si>
    <t>00262</t>
  </si>
  <si>
    <t>OBSOLETE, COIL,WET,MICROCLIMATE</t>
  </si>
  <si>
    <t>SPINCO METAL PRODUCTS</t>
  </si>
  <si>
    <t>3/8" S.C.T. X 48" LONG</t>
  </si>
  <si>
    <t>SPIME</t>
  </si>
  <si>
    <t>00263</t>
  </si>
  <si>
    <t>COIL,FIN,MC-3</t>
  </si>
  <si>
    <t>00265</t>
  </si>
  <si>
    <t>COIL, FIN, EVAP., Z-8</t>
  </si>
  <si>
    <t>3EZ0804M-12.00 X 19.00</t>
  </si>
  <si>
    <t>00266</t>
  </si>
  <si>
    <t>COIL, FIN EVAP., Z-16 &amp; Z-32</t>
  </si>
  <si>
    <t>3EZ0806M-12.00 X 25.00</t>
  </si>
  <si>
    <t>00268</t>
  </si>
  <si>
    <t>COIL, FIN, EVAPORATOR, VTS-3.0</t>
  </si>
  <si>
    <t>00270</t>
  </si>
  <si>
    <t>COIL,FIN,EVAPORATOR, ZP-8</t>
  </si>
  <si>
    <t>3EZ0805M-12.00 X 19.00</t>
  </si>
  <si>
    <t>00270-12</t>
  </si>
  <si>
    <t>'7-3-4</t>
  </si>
  <si>
    <t>00270-51</t>
  </si>
  <si>
    <t>00271</t>
  </si>
  <si>
    <t>COIL, FIN, EVAPORATOR, ZP(HP)-16</t>
  </si>
  <si>
    <t>3EZ0808B-12.00 X 25.00</t>
  </si>
  <si>
    <t>00272</t>
  </si>
  <si>
    <t>COIL,FIN,EVAPORATOR, ZP-16/32</t>
  </si>
  <si>
    <t>3EZ0806R-12.00 X 25.00</t>
  </si>
  <si>
    <t>00272-12</t>
  </si>
  <si>
    <t>'4-3-5</t>
  </si>
  <si>
    <t>00273</t>
  </si>
  <si>
    <t>COIL, FIN, EVAPORATOR, ZP-44/64, 3-6 HP</t>
  </si>
  <si>
    <t>3EZ0805-14.00 X 38.00</t>
  </si>
  <si>
    <t>00273-51</t>
  </si>
  <si>
    <t>'4-3-7</t>
  </si>
  <si>
    <t>00274</t>
  </si>
  <si>
    <t>COIL,FIN,EVAPORATOR,ZP-32/44/64,10-15 HP</t>
  </si>
  <si>
    <t>12.00 X 33.00-7R-38/96</t>
  </si>
  <si>
    <t>00274-51</t>
  </si>
  <si>
    <t>'7-4-12</t>
  </si>
  <si>
    <t>00276</t>
  </si>
  <si>
    <t>CONDENSING UNIT, 208/230-1-60 (200-1-50)</t>
  </si>
  <si>
    <t>M4FL-A067-CAV-141</t>
  </si>
  <si>
    <t>00277</t>
  </si>
  <si>
    <t>COMPRESSOR, SEMI-HERMETIC, 7.5HP,230V</t>
  </si>
  <si>
    <t>3DB3F33KE-TFC-C51</t>
  </si>
  <si>
    <t>00277-15</t>
  </si>
  <si>
    <t>VALVE, SUCTION SERVICE - 1-3/8" ODS ROTALOCK</t>
  </si>
  <si>
    <t>00277-2</t>
  </si>
  <si>
    <t>VALVE, DISCHARGE SERVICE - 1-1/8" ODS ROTALOCK</t>
  </si>
  <si>
    <t>998-0510-02</t>
  </si>
  <si>
    <t>00277-42</t>
  </si>
  <si>
    <t>00277-58</t>
  </si>
  <si>
    <t>00279</t>
  </si>
  <si>
    <t>OBS, CONDENSING, UNIT, .25HP, R-134A (REPLACED WITH 00287)</t>
  </si>
  <si>
    <t>M2FH-0026-IAA-129</t>
  </si>
  <si>
    <t>00282</t>
  </si>
  <si>
    <t>COMPRESSOR, SEMI-HERMETIC, 7.5HP,460V</t>
  </si>
  <si>
    <t>3DB3F33KE-TFD-C51</t>
  </si>
  <si>
    <t>00282-15</t>
  </si>
  <si>
    <t>00282-2</t>
  </si>
  <si>
    <t>00282-42</t>
  </si>
  <si>
    <t>00282-58</t>
  </si>
  <si>
    <t>00283</t>
  </si>
  <si>
    <t>OBS, COMPRESSOR,SCROLL, 10HP, 208V</t>
  </si>
  <si>
    <t>ZF34K5E-TFC-265</t>
  </si>
  <si>
    <t>00284</t>
  </si>
  <si>
    <t>OBS, COMPRESSOR,SCROLL, 10HP, 460V</t>
  </si>
  <si>
    <t>ZF34K5E-TFD-265</t>
  </si>
  <si>
    <t>00285</t>
  </si>
  <si>
    <t>OBSOLETE, COMPRESSOR,10 HP,SCROLL,460-3-60</t>
  </si>
  <si>
    <t>ZF33K4E-TWD-551</t>
  </si>
  <si>
    <t>00287</t>
  </si>
  <si>
    <t>CONDENSING, UNIT, .25HP, R-134A</t>
  </si>
  <si>
    <t>M7JH-H020-IAA-111</t>
  </si>
  <si>
    <t>00290</t>
  </si>
  <si>
    <t>OBSOLETE, COMPRESSOR, 10HP</t>
  </si>
  <si>
    <t>4DA3F47KE-TSK-C50</t>
  </si>
  <si>
    <t>00290-15</t>
  </si>
  <si>
    <t>PART OF 00290</t>
  </si>
  <si>
    <t>00290-2</t>
  </si>
  <si>
    <t>00290-42</t>
  </si>
  <si>
    <t>00290-58</t>
  </si>
  <si>
    <t>00291</t>
  </si>
  <si>
    <t>OBS, COMPRESSOR, SCROLL, 208-230V-3-60 (200V-3-50), ZF49K5E-TFC</t>
  </si>
  <si>
    <t>ZF49K5E-TFC-265</t>
  </si>
  <si>
    <t>00292</t>
  </si>
  <si>
    <t>OBS, COMPRESSOR, SCROLL, 460V-3-60 (380-420V-3-50), ZF49K5E-TFD</t>
  </si>
  <si>
    <t>ZF49K5E-TFD-265</t>
  </si>
  <si>
    <t>00292-G</t>
  </si>
  <si>
    <t>VALVE, SUCTION SERVICE VALVE 1-3/8" ODS (PART OF 05465)</t>
  </si>
  <si>
    <t>PART OF 05465</t>
  </si>
  <si>
    <t>00293</t>
  </si>
  <si>
    <t>COMPRESSOR,15 HP, SCROLL,460-3-60</t>
  </si>
  <si>
    <t>ZF48K4E-TWD-551</t>
  </si>
  <si>
    <t>00294-INT</t>
  </si>
  <si>
    <t>COMPRESSOR, 27 HP, 460-3-60 INTEL</t>
  </si>
  <si>
    <t>6DHNF93KE-TSK-C00.</t>
  </si>
  <si>
    <t>00295</t>
  </si>
  <si>
    <t>COMPRESSOR, 15 HP, W/ HEAD FAN ASSY</t>
  </si>
  <si>
    <t>4DHNF63KE-TSK-C00</t>
  </si>
  <si>
    <t>00296</t>
  </si>
  <si>
    <t>COMPRESSOR, SEMI-HERMETIC, 20HP</t>
  </si>
  <si>
    <t>BITZER US INC</t>
  </si>
  <si>
    <t>4GE-23-2NU-0Y</t>
  </si>
  <si>
    <t>BITUS</t>
  </si>
  <si>
    <t>00296-15</t>
  </si>
  <si>
    <t>PART OF 00296</t>
  </si>
  <si>
    <t>00296-2</t>
  </si>
  <si>
    <t>00296-42</t>
  </si>
  <si>
    <t>00296-58</t>
  </si>
  <si>
    <t>00297</t>
  </si>
  <si>
    <t>COMPRESSOR, SEMI-HERMETIC, 20HP, 208-230V-3-60 (200V-3-50), 460V-3-60 (380-420V-3-50)</t>
  </si>
  <si>
    <t>00298</t>
  </si>
  <si>
    <t>COMPRESSOR,22HP,W/HEAD FAN ASSY</t>
  </si>
  <si>
    <t>4DJNF76KE-TSK-C00</t>
  </si>
  <si>
    <t>00298-A</t>
  </si>
  <si>
    <t>VALVE, DISCHARGE SERVICE VALVE 1-3/8" ODS (PART OF 00298)</t>
  </si>
  <si>
    <t>00298-D</t>
  </si>
  <si>
    <t>SAFETY, OIL PRESSURE (PART OF CORESENSE)</t>
  </si>
  <si>
    <t>00298-G</t>
  </si>
  <si>
    <t>VALVE, SUCTION SERVICE VALVE 2-1/8" ODS (PART OF 00298)</t>
  </si>
  <si>
    <t>497-0959-00</t>
  </si>
  <si>
    <t>00298-INT</t>
  </si>
  <si>
    <t>4DJNF76KE-TSK-C00.</t>
  </si>
  <si>
    <t>00299</t>
  </si>
  <si>
    <t>COMPRESSOR, HERMETIC, 2HP, POE OIL</t>
  </si>
  <si>
    <t>CF09K6E-TFD-230</t>
  </si>
  <si>
    <t>00305</t>
  </si>
  <si>
    <t>2CZ0803M-11x011.81</t>
  </si>
  <si>
    <t>00306</t>
  </si>
  <si>
    <t>CONDENSER, AIR COOLED, ZP 6HP</t>
  </si>
  <si>
    <t>28.00 X 32.00-6R-38/120</t>
  </si>
  <si>
    <t>I:\Engineering\Refrigeration Development\PART ID NUMBERS\Specification Sheets\00306-A.pdf#\\cszind12\industrial\Engineering\Refrigeration Development\PART ID NUMBERS\Specification Sheets\00306-A.pdf#</t>
  </si>
  <si>
    <t>00306-44</t>
  </si>
  <si>
    <t>DESUPERHEATER, DISCHARGE - 12 TUBES</t>
  </si>
  <si>
    <t>PART OF 00306</t>
  </si>
  <si>
    <t>I:\Engineering\Refrigeration Development\PART ID NUMBERS\Specification Sheets\00306-A.pdf#I:\Engineering\Refrigeration Development\PART ID NUMBERS\Specification Sheets\00306-A.pdf#</t>
  </si>
  <si>
    <t>00313</t>
  </si>
  <si>
    <t>COMPRESSOR, SCROLL, 10HP, 230V - UPDATED</t>
  </si>
  <si>
    <t>ZF34K5E-TFC-260</t>
  </si>
  <si>
    <t>00313-G</t>
  </si>
  <si>
    <t>00314</t>
  </si>
  <si>
    <t>COMPRESSOR, SCROLL, 10HP, 460V - UPDATED</t>
  </si>
  <si>
    <t>ZF34K5E-TFD-260</t>
  </si>
  <si>
    <t>00314-G</t>
  </si>
  <si>
    <t>00315</t>
  </si>
  <si>
    <t>COMPRESSOR, SCROLL, 15HP, 230V - UPDATED</t>
  </si>
  <si>
    <t>ZF49K5E-TFC-260</t>
  </si>
  <si>
    <t>00315-G</t>
  </si>
  <si>
    <t>00316</t>
  </si>
  <si>
    <t>COMPRESSOR, SCROLL, 15HP, 460V - UPDATED</t>
  </si>
  <si>
    <t>ZF49K5E-TFD-260</t>
  </si>
  <si>
    <t>00318</t>
  </si>
  <si>
    <t>COMPRESSOR, SEMI-HERMETIC, 30HP, 460V</t>
  </si>
  <si>
    <t>6DRNF11ME-TSK-CO5</t>
  </si>
  <si>
    <t>00330</t>
  </si>
  <si>
    <t>COIL,FIN,EVAPORATOR, WET COIL, ZP-32</t>
  </si>
  <si>
    <t>3EZ0502Q-6 X 18.12</t>
  </si>
  <si>
    <t>00332</t>
  </si>
  <si>
    <t>COIL,FIN,EVAPORATOR, WET COIL, ZP-44-64</t>
  </si>
  <si>
    <t>3EZ0502Q-6 X 32.12</t>
  </si>
  <si>
    <t>00335</t>
  </si>
  <si>
    <t>COIL,FIN,EVAPORATOR,BENCHTOP</t>
  </si>
  <si>
    <t>00338</t>
  </si>
  <si>
    <t>COIL,EVAPORATOR,MICRO HUMIDITY</t>
  </si>
  <si>
    <t>00501</t>
  </si>
  <si>
    <t>COMPRESSOR, AIR, 1/8HP, 1.3 CFM</t>
  </si>
  <si>
    <t>MOSIER FLUID POWER</t>
  </si>
  <si>
    <t>927CA18TFE</t>
  </si>
  <si>
    <t>MOSFL</t>
  </si>
  <si>
    <t>00502</t>
  </si>
  <si>
    <t>OBSOLETE, COMPRESSOR, AIR, 1/4HP, 2.7 CFM</t>
  </si>
  <si>
    <t>727CM39-TFE</t>
  </si>
  <si>
    <t>00503</t>
  </si>
  <si>
    <t>COMPRESSOR, AIR, 1/20HP, 0.5 CFM, 115V-1 PHASE</t>
  </si>
  <si>
    <t>107CAB20-TFE-119</t>
  </si>
  <si>
    <t>00505</t>
  </si>
  <si>
    <t>CAGE, T.E.V.,  B2B</t>
  </si>
  <si>
    <t>ALCO CONTROLS</t>
  </si>
  <si>
    <t>X10110-B2B</t>
  </si>
  <si>
    <t>ALCCO</t>
  </si>
  <si>
    <t>00510</t>
  </si>
  <si>
    <t>CAGE, T.E.V.,  B3B</t>
  </si>
  <si>
    <t>X10110-B3B</t>
  </si>
  <si>
    <t>00515</t>
  </si>
  <si>
    <t>CAGE, T.E.V.,  B4B</t>
  </si>
  <si>
    <t>X10110-B4B</t>
  </si>
  <si>
    <t>00520</t>
  </si>
  <si>
    <t>CAGE, T.E.V.,  B5B</t>
  </si>
  <si>
    <t>X10110-B5B</t>
  </si>
  <si>
    <t>00525</t>
  </si>
  <si>
    <t>CAGE, T.E.V.,  B6B</t>
  </si>
  <si>
    <t>X10110-B6B</t>
  </si>
  <si>
    <t>00570</t>
  </si>
  <si>
    <t>CARTRIDGE, T.E.V.,  #0</t>
  </si>
  <si>
    <t>PARKER HANNIFIN CORP</t>
  </si>
  <si>
    <t>QC-0</t>
  </si>
  <si>
    <t>SPOVA</t>
  </si>
  <si>
    <t>00572</t>
  </si>
  <si>
    <t>CARTRIDGE, #1 T.E.V.</t>
  </si>
  <si>
    <t>QC-1</t>
  </si>
  <si>
    <t>00574</t>
  </si>
  <si>
    <t>CARTRIDGE,TEV,#2</t>
  </si>
  <si>
    <t>QC-2</t>
  </si>
  <si>
    <t>00576</t>
  </si>
  <si>
    <t>CARTRIDGE,TEV,#3</t>
  </si>
  <si>
    <t>QC-3</t>
  </si>
  <si>
    <t>00578</t>
  </si>
  <si>
    <t>CARTRIDGE,TEV,#4</t>
  </si>
  <si>
    <t>QC-4</t>
  </si>
  <si>
    <t>00580</t>
  </si>
  <si>
    <t>CARTRIDGE,TEV,#5</t>
  </si>
  <si>
    <t>QC-5</t>
  </si>
  <si>
    <t>00582</t>
  </si>
  <si>
    <t>CARTRIDGE,TEV,#6</t>
  </si>
  <si>
    <t>QC-6</t>
  </si>
  <si>
    <t>00901</t>
  </si>
  <si>
    <t>BODY,TEV,SWEAT,EXT.EQUALIZER</t>
  </si>
  <si>
    <t>EQE-BODY</t>
  </si>
  <si>
    <t>00902</t>
  </si>
  <si>
    <t>BODY,TEV,SWEAT,INT.EQUALIZER</t>
  </si>
  <si>
    <t>EQ-BODY</t>
  </si>
  <si>
    <t>01005</t>
  </si>
  <si>
    <t>CONDENSER, WATER COOL 1/2HP</t>
  </si>
  <si>
    <t>PACKLESS INDUSTRIES</t>
  </si>
  <si>
    <t>COAX-2051-H-07-51 W/BRKT</t>
  </si>
  <si>
    <t>PACIN</t>
  </si>
  <si>
    <t>01016</t>
  </si>
  <si>
    <t>CONDENSER, W/C, 1 TON, (ROUND)</t>
  </si>
  <si>
    <t>COAX-2100-H-07-85</t>
  </si>
  <si>
    <t>01025</t>
  </si>
  <si>
    <t>CONDENSER, W/C, 2 TON</t>
  </si>
  <si>
    <t>COAX-2200-J-08-128</t>
  </si>
  <si>
    <t>01029</t>
  </si>
  <si>
    <t>CONDENSER, W/C, 3 TON</t>
  </si>
  <si>
    <t>COAX-2300-J-10-144</t>
  </si>
  <si>
    <t>01036</t>
  </si>
  <si>
    <t>CONDENSER, W/C,  5 TON</t>
  </si>
  <si>
    <t>COAX-2500-J-13-178</t>
  </si>
  <si>
    <t>01040</t>
  </si>
  <si>
    <t>CONDENSER,W/C,10 TON</t>
  </si>
  <si>
    <t>QHSE-10</t>
  </si>
  <si>
    <t>01045</t>
  </si>
  <si>
    <t>CONDENSER,W/C,15 TON</t>
  </si>
  <si>
    <t>HSE-15</t>
  </si>
  <si>
    <t>01054</t>
  </si>
  <si>
    <t>CONDENSER, W/C, 25 TON</t>
  </si>
  <si>
    <t>STC025XS-XXX</t>
  </si>
  <si>
    <t>I:\Engineering\Refrigeration Development\PART ID NUMBERS\Specification Sheets\01054-A.lnk#I:\Engineering\Refrigeration Development\PART ID NUMBERS\Specification Sheets\01054-A.lnk#</t>
  </si>
  <si>
    <t>01105</t>
  </si>
  <si>
    <t>CONDENSER, W/C, 1HP,BTTSC-09</t>
  </si>
  <si>
    <t>COBX-0959-T-07-68</t>
  </si>
  <si>
    <t>01107</t>
  </si>
  <si>
    <t>CONDENSER, W/C, 11/2 TON, (OVAL)</t>
  </si>
  <si>
    <t>COBX-0960-T-08-108</t>
  </si>
  <si>
    <t>01110</t>
  </si>
  <si>
    <t>CONDENSER, W/C, 1.5 TON</t>
  </si>
  <si>
    <t>COAX-0962-H-08-113</t>
  </si>
  <si>
    <t>01112</t>
  </si>
  <si>
    <t>CONDENSER, W/C, 20 HP</t>
  </si>
  <si>
    <t>KELVION INC PHE</t>
  </si>
  <si>
    <t>WTTAM</t>
  </si>
  <si>
    <t>01115</t>
  </si>
  <si>
    <t>CONDENSER, W/C, 4 TON</t>
  </si>
  <si>
    <t>COAX-2400-J-11-170</t>
  </si>
  <si>
    <t>01200</t>
  </si>
  <si>
    <t>DISTRIBUTOR, SOLDER, 4-3-2</t>
  </si>
  <si>
    <t>CONTROL DEVICES LLC</t>
  </si>
  <si>
    <t>37349</t>
  </si>
  <si>
    <t>KEEFL</t>
  </si>
  <si>
    <t>01205</t>
  </si>
  <si>
    <t>DISTRIBUTOR, SOLDER, 4-3-3</t>
  </si>
  <si>
    <t>37714</t>
  </si>
  <si>
    <t>01210</t>
  </si>
  <si>
    <t>DISTRIBUTOR, SOLDER, 4-3-4</t>
  </si>
  <si>
    <t>38080</t>
  </si>
  <si>
    <t>01215</t>
  </si>
  <si>
    <t>DISTRIBUTOR, SOLDER, 4-3-5</t>
  </si>
  <si>
    <t>38445</t>
  </si>
  <si>
    <t>01239</t>
  </si>
  <si>
    <t>DISTRIBUTOR, SOLDER, 4-3-6</t>
  </si>
  <si>
    <t>38810</t>
  </si>
  <si>
    <t>01240</t>
  </si>
  <si>
    <t>DISTRIBUTOR, SOLDER, 4-4-2</t>
  </si>
  <si>
    <t>37350</t>
  </si>
  <si>
    <t>01250</t>
  </si>
  <si>
    <t>DISTRIBUTOR, SOLDER, 4-4-4</t>
  </si>
  <si>
    <t>38081</t>
  </si>
  <si>
    <t>01260</t>
  </si>
  <si>
    <t>DISTRIBUTOR, SOLDER, 4-4-6</t>
  </si>
  <si>
    <t>38811</t>
  </si>
  <si>
    <t>01R001</t>
  </si>
  <si>
    <t>COMPRESSOR, HERMETIC, .67HP, 230V-60HZ</t>
  </si>
  <si>
    <t>104L2195</t>
  </si>
  <si>
    <t>01R002</t>
  </si>
  <si>
    <t>COMPRESSOR, SCROLL - 4HP</t>
  </si>
  <si>
    <t>ZF13K4E-TF5-961</t>
  </si>
  <si>
    <t>MASSU</t>
  </si>
  <si>
    <t>01R003</t>
  </si>
  <si>
    <t>COMPRESSOR, SCROLL - 5HP</t>
  </si>
  <si>
    <t>ZF15K4E-TFD-266</t>
  </si>
  <si>
    <t>01R004</t>
  </si>
  <si>
    <t>COMPRESSOR, 30HP, SEMI-HERMETIC,460V 3PH</t>
  </si>
  <si>
    <t>6DJNF11ME-TSK-C04</t>
  </si>
  <si>
    <t>01R004-15</t>
  </si>
  <si>
    <t>VALVE, SUCTION SERVICE - 2 1/8" SWEAT</t>
  </si>
  <si>
    <t>998-0510-20</t>
  </si>
  <si>
    <t>01R004-1A</t>
  </si>
  <si>
    <t>SENSOR, OIL PRESSURE - PART OF CORESENSE (14-INST)</t>
  </si>
  <si>
    <t>998-0162-01</t>
  </si>
  <si>
    <t>01R004-2</t>
  </si>
  <si>
    <t>VALVE, DISCHARGE SERVICE - 1 3/8" SWEAT</t>
  </si>
  <si>
    <t>998-0510-46</t>
  </si>
  <si>
    <t>01R004-41A</t>
  </si>
  <si>
    <t>SENSOR, OIL PRESSURE - PART OF CORESENSE (15-INST)</t>
  </si>
  <si>
    <t>01R004-42</t>
  </si>
  <si>
    <t>01R004-58</t>
  </si>
  <si>
    <t>01R005</t>
  </si>
  <si>
    <t>COMPRESSOR, 10HP, SCROLL, 230V, 3PH</t>
  </si>
  <si>
    <t>ZF33K4E-TWC-551</t>
  </si>
  <si>
    <t>01R006</t>
  </si>
  <si>
    <t>OBS,COMPRESSOR, 15HP, SCRL, 208/230-3-60</t>
  </si>
  <si>
    <t>ZF48K4E-TWC-551</t>
  </si>
  <si>
    <t>01R007</t>
  </si>
  <si>
    <t>COMPRESSOR, 27 HP</t>
  </si>
  <si>
    <t>6DHNF93KE-TSK-C04</t>
  </si>
  <si>
    <t>01R007-101A</t>
  </si>
  <si>
    <t>MODULE, CORESENSE (114-INST)</t>
  </si>
  <si>
    <t>PART OF 01R007</t>
  </si>
  <si>
    <t>01R007-102</t>
  </si>
  <si>
    <t>VALVE, DISCHARGE SERVICE - ROTALOCK</t>
  </si>
  <si>
    <t>01R007-115</t>
  </si>
  <si>
    <t>VALVE, SUCTION SERVICE - ROTALOCK</t>
  </si>
  <si>
    <t>01R007-1B</t>
  </si>
  <si>
    <t>01R007-1D</t>
  </si>
  <si>
    <t>01R007-1G</t>
  </si>
  <si>
    <t>01R007-41B</t>
  </si>
  <si>
    <t>01R007-41D</t>
  </si>
  <si>
    <t>01R007-41G</t>
  </si>
  <si>
    <t>01R008</t>
  </si>
  <si>
    <t>OBSOLETE, COMPRESSOR,10HP,R-410A SCROLL</t>
  </si>
  <si>
    <t>ZP120KCE-TFD-250</t>
  </si>
  <si>
    <t>01R009</t>
  </si>
  <si>
    <t>COMPRESSOR, 12 HP 2 STAGE 460/380-3-60/50</t>
  </si>
  <si>
    <t>S4G-12.2Y-2NU</t>
  </si>
  <si>
    <t>01R009-15</t>
  </si>
  <si>
    <t>PART OF 01R009</t>
  </si>
  <si>
    <t>01R009-2</t>
  </si>
  <si>
    <t>SERVICE VALVE KIT</t>
  </si>
  <si>
    <t>01R010</t>
  </si>
  <si>
    <t>COMPRESSOR, 25 HP 2 STAGE 460/380-3-60/50</t>
  </si>
  <si>
    <t>S6G-25.2Y-2NU</t>
  </si>
  <si>
    <t>01R011</t>
  </si>
  <si>
    <t>COMPRESSOR, 30 HP, 2 STAGE, 380-460/3/5-60</t>
  </si>
  <si>
    <t>S6F-30.2Y-2NU</t>
  </si>
  <si>
    <t>01R011-15</t>
  </si>
  <si>
    <t>PART OF 01R011</t>
  </si>
  <si>
    <t>01R011-2</t>
  </si>
  <si>
    <t>01R012</t>
  </si>
  <si>
    <t>COMPRESSOR, 40 HP, SEMI-HERMETIC, 460/3/60</t>
  </si>
  <si>
    <t>6FE-44-4PU-0Y</t>
  </si>
  <si>
    <t>01R012-15</t>
  </si>
  <si>
    <t>PART OF 01R012</t>
  </si>
  <si>
    <t>01R012-2</t>
  </si>
  <si>
    <t>01R012-42</t>
  </si>
  <si>
    <t>01R012-58</t>
  </si>
  <si>
    <t>02011</t>
  </si>
  <si>
    <t>FILTER-DRIER</t>
  </si>
  <si>
    <t>C-052-S</t>
  </si>
  <si>
    <t>02012</t>
  </si>
  <si>
    <t>THERMOSTATIC ELEMENT,R12 INT. EQUALIZER</t>
  </si>
  <si>
    <t>XB-1019-FC-2A</t>
  </si>
  <si>
    <t>02015</t>
  </si>
  <si>
    <t>FILTER-DRIER,C-032-S</t>
  </si>
  <si>
    <t>C-032-S</t>
  </si>
  <si>
    <t>FILTER-DRIER,C-032-S - 1/4" ODF</t>
  </si>
  <si>
    <t>02022</t>
  </si>
  <si>
    <t>ELIMINATOR, VIBRATION, 3/4 OD</t>
  </si>
  <si>
    <t>VAFS-6</t>
  </si>
  <si>
    <t>02023</t>
  </si>
  <si>
    <t>EXCHANGER, HEAT, HXR, 150</t>
  </si>
  <si>
    <t>HXR-150</t>
  </si>
  <si>
    <t>02027</t>
  </si>
  <si>
    <t>FILTER-DRIER - 3/8" ODS</t>
  </si>
  <si>
    <t>C-083-S</t>
  </si>
  <si>
    <t>02032</t>
  </si>
  <si>
    <t>ELIMINATOR, VIBRATION, 7/8 ODS</t>
  </si>
  <si>
    <t>VAFS-8</t>
  </si>
  <si>
    <t>02033</t>
  </si>
  <si>
    <t>EXCHANGER, HEAT, HXR, 250</t>
  </si>
  <si>
    <t>HXR-250A</t>
  </si>
  <si>
    <t>02034</t>
  </si>
  <si>
    <t>1/4 IN PIPE ADAPTER, QUIKCLAMP STYLE</t>
  </si>
  <si>
    <t>SCOTT INDUSTRIAL SYSTEMS</t>
  </si>
  <si>
    <t>4215-02</t>
  </si>
  <si>
    <t>SCOEQ</t>
  </si>
  <si>
    <t>02035</t>
  </si>
  <si>
    <t>ELIMINATOR, VIBRATION, 1 1/8 OD</t>
  </si>
  <si>
    <t>VAFS-9</t>
  </si>
  <si>
    <t>02037</t>
  </si>
  <si>
    <t>FILTER, WATER, CARTRIDGE, RESEARCH #2</t>
  </si>
  <si>
    <t>3C0800001</t>
  </si>
  <si>
    <t>02038</t>
  </si>
  <si>
    <t>ASSY, AIR FILTER VALVE</t>
  </si>
  <si>
    <t>02039</t>
  </si>
  <si>
    <t>QUIKCLAMP/BRACKET</t>
  </si>
  <si>
    <t>4214-52</t>
  </si>
  <si>
    <t>02040</t>
  </si>
  <si>
    <t>FILTER-DRIER, C-417-S, 7/8" ODS</t>
  </si>
  <si>
    <t>C-417-S</t>
  </si>
  <si>
    <t>02041</t>
  </si>
  <si>
    <t>FILTER-DRIER, C-163-S, 3/8" ODS</t>
  </si>
  <si>
    <t>C-163-S</t>
  </si>
  <si>
    <t>02042</t>
  </si>
  <si>
    <t>ELIMINATOR, VIBRATION, 1 3/8 OD</t>
  </si>
  <si>
    <t>VAFS-10</t>
  </si>
  <si>
    <t>02043</t>
  </si>
  <si>
    <t>EXCHANGER, HEAT, HXR, 500</t>
  </si>
  <si>
    <t>HXR-500</t>
  </si>
  <si>
    <t>02045</t>
  </si>
  <si>
    <t>ELIMINATOR, VIBRATION, 1 5/8 OD</t>
  </si>
  <si>
    <t>VAFS-11</t>
  </si>
  <si>
    <t>02046</t>
  </si>
  <si>
    <t>FILTER-DRIER, C-164-S, 1/2" ODS</t>
  </si>
  <si>
    <t>C-164-S</t>
  </si>
  <si>
    <t>02047</t>
  </si>
  <si>
    <t>FILTER, AIR, COALESCING</t>
  </si>
  <si>
    <t>F72C-2AN-AWO</t>
  </si>
  <si>
    <t>02048</t>
  </si>
  <si>
    <t>FILTER, AIR, 1/4 IN MODULAR</t>
  </si>
  <si>
    <t>F72G-2AN-AW3</t>
  </si>
  <si>
    <t>02049</t>
  </si>
  <si>
    <t>FILTER, LIQUID LINE, PARTICULATE</t>
  </si>
  <si>
    <t>OF-163/3/8 ODF</t>
  </si>
  <si>
    <t>02050</t>
  </si>
  <si>
    <t>ELIMINATOR, VIBRATION, 2 1/8 OD</t>
  </si>
  <si>
    <t>VAF-82</t>
  </si>
  <si>
    <t>02051</t>
  </si>
  <si>
    <t>ASSY; AIR FILTER / VALVE, TCS</t>
  </si>
  <si>
    <t>02052</t>
  </si>
  <si>
    <t>FILTER, AIR, 1/4" PORT, 40M - PLATIC BOWL</t>
  </si>
  <si>
    <t>TRIAD TECHNOLOGIES LLC</t>
  </si>
  <si>
    <t>P31FA92EGBN</t>
  </si>
  <si>
    <t>TRIFL</t>
  </si>
  <si>
    <t>02053</t>
  </si>
  <si>
    <t>FILTER, AIR, COALESCING, 1/4" PORT, 0.01M - PLASTIC BOWL</t>
  </si>
  <si>
    <t>P31FA92CGBN</t>
  </si>
  <si>
    <t>02054</t>
  </si>
  <si>
    <t>BRACKET, T W/ BODY CONNECTOR (P31 SERIES)</t>
  </si>
  <si>
    <t>P31KA00MT</t>
  </si>
  <si>
    <t>02055</t>
  </si>
  <si>
    <t>BRACKET, ANGLE - (P31 SERIES)</t>
  </si>
  <si>
    <t>P31KA00MR</t>
  </si>
  <si>
    <t>02056</t>
  </si>
  <si>
    <t>FILTER, AIR, 1/2" PORT - PLASTIC BOWL</t>
  </si>
  <si>
    <t>P32FA94EGMN</t>
  </si>
  <si>
    <t>02057</t>
  </si>
  <si>
    <t>FILTER, AIR, COALESCING, 1/2" PORT, 0.01M - PLASTIC BOWL</t>
  </si>
  <si>
    <t>P32FB94AGMN</t>
  </si>
  <si>
    <t>02058</t>
  </si>
  <si>
    <t>BRACKET, T W/ BODY CONNECTOR (P32 SERIES)</t>
  </si>
  <si>
    <t>P32KA00MT</t>
  </si>
  <si>
    <t>02059</t>
  </si>
  <si>
    <t>BRACKET, ANGLE - (P32 SERIES)</t>
  </si>
  <si>
    <t>P32KA00MR</t>
  </si>
  <si>
    <t>02060</t>
  </si>
  <si>
    <t>FILTER-DRIER, C-607-S, 7/8" ODS</t>
  </si>
  <si>
    <t>C-607-S</t>
  </si>
  <si>
    <t>02066</t>
  </si>
  <si>
    <t>FILTER-DRIER, 1/2" ODS</t>
  </si>
  <si>
    <t>C-304-SHH</t>
  </si>
  <si>
    <t>02071</t>
  </si>
  <si>
    <t>FILTER-DRIER, C-305-S, 5/8" ODS</t>
  </si>
  <si>
    <t>C-305-S</t>
  </si>
  <si>
    <t>02086</t>
  </si>
  <si>
    <t>ELIMINATOR, VIBRATION, 1/4 IN SWEAT</t>
  </si>
  <si>
    <t>260000-1084</t>
  </si>
  <si>
    <t>02087</t>
  </si>
  <si>
    <t>ELIMINATOR, VIBRATION, 3/8 SWEAT</t>
  </si>
  <si>
    <t>VAFS-3</t>
  </si>
  <si>
    <t>02088</t>
  </si>
  <si>
    <t>ELIMINATOR, VIBRATION, 1/2 SWEAT</t>
  </si>
  <si>
    <t>VAFS-4</t>
  </si>
  <si>
    <t>02090</t>
  </si>
  <si>
    <t>ELIMINATOR, VIBRATION, 5/8 SWEAT</t>
  </si>
  <si>
    <t>VAFS-5</t>
  </si>
  <si>
    <t>02100</t>
  </si>
  <si>
    <t>DRYER, HEATLESS, 115/60, (DRY AIR PURGE)</t>
  </si>
  <si>
    <t>PUREGAS, LLC</t>
  </si>
  <si>
    <t>VSA3-11M</t>
  </si>
  <si>
    <t>TWITO</t>
  </si>
  <si>
    <t>02105</t>
  </si>
  <si>
    <t>EXCHANGER, HEAT, LHXR-15</t>
  </si>
  <si>
    <t>DOUCETTE INDUSTRIES</t>
  </si>
  <si>
    <t>SLHE-15</t>
  </si>
  <si>
    <t>DOUIN</t>
  </si>
  <si>
    <t>02110</t>
  </si>
  <si>
    <t>EXCHANGER, HEAT</t>
  </si>
  <si>
    <t>SLHE-20</t>
  </si>
  <si>
    <t>02111</t>
  </si>
  <si>
    <t>HEAT EXCHANGER, CASCADE COND. 1HP, ZP-O4</t>
  </si>
  <si>
    <t>02115</t>
  </si>
  <si>
    <t>HEAT EXCHANGER, CASCADE COND. 2HP, ZP-04</t>
  </si>
  <si>
    <t>HEAT TRANSFER GROUP INC</t>
  </si>
  <si>
    <t>S22D-24</t>
  </si>
  <si>
    <t>HTGIN</t>
  </si>
  <si>
    <t>02116</t>
  </si>
  <si>
    <t>HEAT EXCHANGER,CASCADE COND,3.5HP,ZPLINE</t>
  </si>
  <si>
    <t>CB26-24HS R41</t>
  </si>
  <si>
    <t>ALFLA</t>
  </si>
  <si>
    <t>02117</t>
  </si>
  <si>
    <t>HEAT EXCHANGER, CASCADE COND. 3.5HP</t>
  </si>
  <si>
    <t>02118</t>
  </si>
  <si>
    <t>CB26-34HS R41</t>
  </si>
  <si>
    <t>02119</t>
  </si>
  <si>
    <t>HEAT EXCHANGER, CASCADE COND, 6HP ZP-04</t>
  </si>
  <si>
    <t>02120</t>
  </si>
  <si>
    <t>R-410A HEAT EXCHANGER, WC COND 3.5HP</t>
  </si>
  <si>
    <t>02123</t>
  </si>
  <si>
    <t>DESUPERHEATER, DISCHARGE, 20HP, ZP</t>
  </si>
  <si>
    <t>02124</t>
  </si>
  <si>
    <t>CONDENSER, CASCADE, W/C, 20 HP</t>
  </si>
  <si>
    <t>02125</t>
  </si>
  <si>
    <t>OBS.  HEAT EXCHANG,CASCADE CONDENS,10 HP</t>
  </si>
  <si>
    <t>AC50-64HX S1</t>
  </si>
  <si>
    <t>02135</t>
  </si>
  <si>
    <t>HEAT EXCHANGER, CASCADE COND, 10 HP, ZP</t>
  </si>
  <si>
    <t>02140</t>
  </si>
  <si>
    <t>HEAT EXCHANGER, CASCADE COND, 15 HP, ZP</t>
  </si>
  <si>
    <t>02144</t>
  </si>
  <si>
    <t>DISCHARGE DESUPERHEATER, WP22-20, 6 SEMI</t>
  </si>
  <si>
    <t>02145</t>
  </si>
  <si>
    <t>HEAT EXCHANGER, DESUPERHEATER,10-15, ZP</t>
  </si>
  <si>
    <t>02148</t>
  </si>
  <si>
    <t>CONDENSER, WATER COOLED, W24-24, 6 SEMI</t>
  </si>
  <si>
    <t>02150</t>
  </si>
  <si>
    <t>HEAT EXCHANGER, W/C CONDENSER,10, ZP</t>
  </si>
  <si>
    <t>02155</t>
  </si>
  <si>
    <t>HEAT EXCHANGER,W/C CONDENSER,15 HP,ZP04</t>
  </si>
  <si>
    <t>02500</t>
  </si>
  <si>
    <t>BODY, 3/8 X 1/2, T.E.V.</t>
  </si>
  <si>
    <t>JOHNSTONE SUPPLY</t>
  </si>
  <si>
    <t>B14-113</t>
  </si>
  <si>
    <t>JOHSU</t>
  </si>
  <si>
    <t>02505</t>
  </si>
  <si>
    <t>CAP TUBE ASSY, 7.5-10 HP, SCROLL</t>
  </si>
  <si>
    <t>998-1873-01</t>
  </si>
  <si>
    <t>02506</t>
  </si>
  <si>
    <t>KIT, DISCHARGE TEMP CONTROL, DTC, ZF</t>
  </si>
  <si>
    <t>998-0500-03</t>
  </si>
  <si>
    <t>02506-92B</t>
  </si>
  <si>
    <t>OBS, THERMISTOR, DISCHARGE LINE</t>
  </si>
  <si>
    <t>PART OF 02506</t>
  </si>
  <si>
    <t>02507</t>
  </si>
  <si>
    <t>KIT,DISCHARGE TEMPERATURE CONTROL,EXV,ZF</t>
  </si>
  <si>
    <t>998-0340-00</t>
  </si>
  <si>
    <t>02507-92b</t>
  </si>
  <si>
    <t>THERMISTOR, DISCHARGE LINE</t>
  </si>
  <si>
    <t>PART OF 02507</t>
  </si>
  <si>
    <t>02510</t>
  </si>
  <si>
    <t>CAP TUBE ASSY, 13-15 HP, SCROLL</t>
  </si>
  <si>
    <t>998-1873-04</t>
  </si>
  <si>
    <t>02525</t>
  </si>
  <si>
    <t>THERMOSTATIC ELEMENT, MOP 25</t>
  </si>
  <si>
    <t>KT-43-EGP25</t>
  </si>
  <si>
    <t>02526</t>
  </si>
  <si>
    <t>THERMOSTATIC ELEMENT,R12, 60 INCH</t>
  </si>
  <si>
    <t>KT-43-FC 60 INCHES</t>
  </si>
  <si>
    <t>02527</t>
  </si>
  <si>
    <t>THERMOSTATIC ELEMENT, R13B1</t>
  </si>
  <si>
    <t>KT-83-TGP</t>
  </si>
  <si>
    <t>02528</t>
  </si>
  <si>
    <t>THERMOSTATIC ELEMENT,R-404A</t>
  </si>
  <si>
    <t>KT-43-RZ</t>
  </si>
  <si>
    <t>02529</t>
  </si>
  <si>
    <t>THERMOSTATIC ELEMENT, R-508B</t>
  </si>
  <si>
    <t>KT-43-WGP</t>
  </si>
  <si>
    <t>02530</t>
  </si>
  <si>
    <t>THERMOSTATIC ELEMENT, R13, MOP35</t>
  </si>
  <si>
    <t>KT-43-EGP35</t>
  </si>
  <si>
    <t>02531</t>
  </si>
  <si>
    <t>THERMAL EXP ELEMENT 5FT CAP TUBE BULB LN</t>
  </si>
  <si>
    <t>KT-43-VC</t>
  </si>
  <si>
    <t>02532</t>
  </si>
  <si>
    <t>THERMOSTATIC ELEMENT,R-404A,MOP35</t>
  </si>
  <si>
    <t>KT-43-RZP</t>
  </si>
  <si>
    <t>02534</t>
  </si>
  <si>
    <t>THERMOSTATIC, ELEMENT, R-410A</t>
  </si>
  <si>
    <t>KT-45-ZN</t>
  </si>
  <si>
    <t>02535</t>
  </si>
  <si>
    <t>THERMOSTATIC ELEMENT,R410A,MOP55</t>
  </si>
  <si>
    <t>KT-45-ZZP55</t>
  </si>
  <si>
    <t>02536</t>
  </si>
  <si>
    <t>VALVE,THERMOSTATIC,R-404A</t>
  </si>
  <si>
    <t>KT-43-SC</t>
  </si>
  <si>
    <t>02990</t>
  </si>
  <si>
    <t>OBS., HEAT, EXCHANGER, CASCASE , 6HP, ZP</t>
  </si>
  <si>
    <t>GBS500H-AE-28</t>
  </si>
  <si>
    <t>02991</t>
  </si>
  <si>
    <t>OBS.HEAT, EXCHANGER, W/C CONDENSER, 15HP</t>
  </si>
  <si>
    <t>GBS500H-30</t>
  </si>
  <si>
    <t>02R001</t>
  </si>
  <si>
    <t>EVAPORATOR, R-508B</t>
  </si>
  <si>
    <t>18.00X18.00-8R-38/96</t>
  </si>
  <si>
    <t>02R002</t>
  </si>
  <si>
    <t>COIL, EVAPORATOR, R-410A</t>
  </si>
  <si>
    <t>22.00X24.00-8R-38/96</t>
  </si>
  <si>
    <t>02R003</t>
  </si>
  <si>
    <t>R-508B EVAPORATOR</t>
  </si>
  <si>
    <t>18.00X18.00-6R-38/72</t>
  </si>
  <si>
    <t>02R004</t>
  </si>
  <si>
    <t>18.00X21.00-8R-38/96</t>
  </si>
  <si>
    <t>02R005</t>
  </si>
  <si>
    <t>EVAPORATOR, R-508BASSY, QUOTE #0411-133</t>
  </si>
  <si>
    <t>AE5-70</t>
  </si>
  <si>
    <t>02R006</t>
  </si>
  <si>
    <t>EVAPOATOR, R-508B,14.00X40.00-4R-38/72</t>
  </si>
  <si>
    <t>14.00X40.00-4R-38/72</t>
  </si>
  <si>
    <t>02R007</t>
  </si>
  <si>
    <t>ASSY, EVAPORATOR</t>
  </si>
  <si>
    <t>12.00X8.00-4R-38/96</t>
  </si>
  <si>
    <t>02R007-12</t>
  </si>
  <si>
    <t>'4-3-3</t>
  </si>
  <si>
    <t>02R008</t>
  </si>
  <si>
    <t>EVAPORATOR,R-508B,  ASSY</t>
  </si>
  <si>
    <t>GBS400H-0812_1401_04-E</t>
  </si>
  <si>
    <t>02R009</t>
  </si>
  <si>
    <t>COIL, WET, MP2</t>
  </si>
  <si>
    <t>12.00X32.00-4R-38/72</t>
  </si>
  <si>
    <t>02R009-H24</t>
  </si>
  <si>
    <t>'4-4-4</t>
  </si>
  <si>
    <t>02R010</t>
  </si>
  <si>
    <t>COIL, EVAPORATOR R-508B</t>
  </si>
  <si>
    <t>21.00X32.00-6R-38/96</t>
  </si>
  <si>
    <t>02R011</t>
  </si>
  <si>
    <t>26.00X40.00-8R-38/96</t>
  </si>
  <si>
    <t>02R012</t>
  </si>
  <si>
    <t>COIL, WET, R-404A</t>
  </si>
  <si>
    <t>12.00X41.00-4R-38/72</t>
  </si>
  <si>
    <t>02R012-A</t>
  </si>
  <si>
    <t>LIQUID, REFRIGERANT DISTRIBUTOR</t>
  </si>
  <si>
    <t>02R013</t>
  </si>
  <si>
    <t>COIL, EVAPORATOR</t>
  </si>
  <si>
    <t>14.00X80.00-4R-38/96</t>
  </si>
  <si>
    <t>02R014</t>
  </si>
  <si>
    <t>EVAPORATOR, R-404A</t>
  </si>
  <si>
    <t>20.00X32.00-4R-38/96</t>
  </si>
  <si>
    <t>02R015</t>
  </si>
  <si>
    <t>COIL, EVAPORATOR R-410A</t>
  </si>
  <si>
    <t>02R016</t>
  </si>
  <si>
    <t>EVAPORATOR COIL, RH SPLIT (R508B-R404A)</t>
  </si>
  <si>
    <t>20.00X30.00-8R-38/72</t>
  </si>
  <si>
    <t>02R017</t>
  </si>
  <si>
    <t>EVAPORATOR COIL, RH SPLIT (R-508B/R-404A)</t>
  </si>
  <si>
    <t>20.00 X 78.00-6R-38/72</t>
  </si>
  <si>
    <t>02R018</t>
  </si>
  <si>
    <t>26.00 X 40.00-10R-38/96</t>
  </si>
  <si>
    <t>02R018-51H</t>
  </si>
  <si>
    <t>DISTRIBUTOR, LIQUID REFRIGERANT - 16 FEEDS</t>
  </si>
  <si>
    <t>PART OF 02R018</t>
  </si>
  <si>
    <t>02R018-51L</t>
  </si>
  <si>
    <t>DISTRIBUTOR, LIQUID REFRIGERANT - 10 FEEDS</t>
  </si>
  <si>
    <t>02R018-H51</t>
  </si>
  <si>
    <t>DISTRIBUTOR, LIQUID REFRIGERANT - 13 FEEDS</t>
  </si>
  <si>
    <t>02R019</t>
  </si>
  <si>
    <t>R-404A WET COIL</t>
  </si>
  <si>
    <t>12.00 X 41.00-4R-38/72</t>
  </si>
  <si>
    <t>02R019-H24</t>
  </si>
  <si>
    <t>02R020</t>
  </si>
  <si>
    <t>EVAPORATOR ASSY, R-410A, 10HP SCROLL, RH</t>
  </si>
  <si>
    <t>72.00 X 44.00-14R-38/96</t>
  </si>
  <si>
    <t>02R021</t>
  </si>
  <si>
    <t>EVAPORATOR ASSY, R-410A, 10HP SCROLL, LH</t>
  </si>
  <si>
    <t>72.00 X  44.00-14R-38/96</t>
  </si>
  <si>
    <t>02R022</t>
  </si>
  <si>
    <t>EVAPORATOR COIL, R404A PER DWG #02R022</t>
  </si>
  <si>
    <t>2EZ0806N-16.00 X 16.00</t>
  </si>
  <si>
    <t>02R023</t>
  </si>
  <si>
    <t>WET COIL, R404A PER DWG# 02R023</t>
  </si>
  <si>
    <t>3EZ0501M3F-17.00 X 18.00</t>
  </si>
  <si>
    <t>02R024</t>
  </si>
  <si>
    <t>HEATER COIL, ETHYLENE GLYCOL</t>
  </si>
  <si>
    <t>3FZ0802G3L-16.00 X 16.00</t>
  </si>
  <si>
    <t>02R025</t>
  </si>
  <si>
    <t>EVAPORATOR, MP4, TUNDRA 2, 25 &amp; 30 HP</t>
  </si>
  <si>
    <t>25.00 X 58.00-10R-12/96</t>
  </si>
  <si>
    <t>02R026</t>
  </si>
  <si>
    <t>EVAPORATOR, 404A</t>
  </si>
  <si>
    <t>16.00 X 36.00-4R-38/96</t>
  </si>
  <si>
    <t>02R027</t>
  </si>
  <si>
    <t>EVAPORATOR, R-508B, LEFT COIL</t>
  </si>
  <si>
    <t>7.375 X 56.314-1R-38/60</t>
  </si>
  <si>
    <t>02R028</t>
  </si>
  <si>
    <t>EVAPORATOR,R-508B, RIGHT COIL</t>
  </si>
  <si>
    <t>02R029</t>
  </si>
  <si>
    <t>EVAPORATOR,R-508B, BACK COIL</t>
  </si>
  <si>
    <t>7.375 X 24.00-1R-38/60</t>
  </si>
  <si>
    <t>02R030</t>
  </si>
  <si>
    <t>EVAPORATOR,R-508B, FRONT COIL</t>
  </si>
  <si>
    <t>02R032</t>
  </si>
  <si>
    <t>COIL, WET, ZP, SS</t>
  </si>
  <si>
    <t>6.00 X 18.12-2R-38/60 S/S</t>
  </si>
  <si>
    <t>02R033</t>
  </si>
  <si>
    <t>COIL, EVAPORATOR, ZP, SS</t>
  </si>
  <si>
    <t>12.00 X 19.00-4R-38/96 S/S</t>
  </si>
  <si>
    <t>02R035</t>
  </si>
  <si>
    <t>COIL, EVAPORATOR, UB-5-3..5-SCT</t>
  </si>
  <si>
    <t>12.00 X 19.00-6R-38/96</t>
  </si>
  <si>
    <t>02R036</t>
  </si>
  <si>
    <t>COIL, EVAPORATOR, FINE TUBE, MICRON</t>
  </si>
  <si>
    <t>48X18-6R-.375/72</t>
  </si>
  <si>
    <t>03001</t>
  </si>
  <si>
    <t>ORIFICE, T.E.V., #01, W/ SCREEN</t>
  </si>
  <si>
    <t>068-201000</t>
  </si>
  <si>
    <t>03007</t>
  </si>
  <si>
    <t>RECEIVER, LIQUID, 3 X 10, 2LB</t>
  </si>
  <si>
    <t>REFRIGERATION RESEARCH, INC.</t>
  </si>
  <si>
    <t>2030</t>
  </si>
  <si>
    <t>REFRE</t>
  </si>
  <si>
    <t>03015</t>
  </si>
  <si>
    <t>INDICATOR, LIQUID, 5/8 O.D.S.</t>
  </si>
  <si>
    <t>SA-15S</t>
  </si>
  <si>
    <t>03017</t>
  </si>
  <si>
    <t>ORFICE,.063 IN,NEXPRESS</t>
  </si>
  <si>
    <t>O'KEEFE CONTROLS COMPANY</t>
  </si>
  <si>
    <t>K4-63-SS</t>
  </si>
  <si>
    <t>OKECO</t>
  </si>
  <si>
    <t>03023</t>
  </si>
  <si>
    <t>ORFICE,TEV,#05,SWEAT</t>
  </si>
  <si>
    <t>68-2095</t>
  </si>
  <si>
    <t>03024</t>
  </si>
  <si>
    <t>ORFICE,TEV,#06,SWEAT</t>
  </si>
  <si>
    <t>68-2096</t>
  </si>
  <si>
    <t>03027</t>
  </si>
  <si>
    <t>ORFICE,TEV,#02,SWEAT</t>
  </si>
  <si>
    <t>68-2092</t>
  </si>
  <si>
    <t>03034</t>
  </si>
  <si>
    <t>RECEIVER,LIQUID,5 X 18,NEXPRESS</t>
  </si>
  <si>
    <t>RRX9038</t>
  </si>
  <si>
    <t>03034-6</t>
  </si>
  <si>
    <t>VALVE, RECEIVER LIQUID OUT VALVE</t>
  </si>
  <si>
    <t>PART OF 03034</t>
  </si>
  <si>
    <t>03040</t>
  </si>
  <si>
    <t>INDICATOR, LIQUID, 1/4 ODS</t>
  </si>
  <si>
    <t>SA-12S</t>
  </si>
  <si>
    <t>03044</t>
  </si>
  <si>
    <t>INDICATOR, LIQUID, 3/8 ODS</t>
  </si>
  <si>
    <t>SA-13S</t>
  </si>
  <si>
    <t>03049</t>
  </si>
  <si>
    <t>INDICATOR, LIQUID, 1/2 IN O.D.S.</t>
  </si>
  <si>
    <t>SA-14S</t>
  </si>
  <si>
    <t>03059</t>
  </si>
  <si>
    <t>INDICATOR, LIQUID, 7/8 IN O.D.S.</t>
  </si>
  <si>
    <t>SA-17S</t>
  </si>
  <si>
    <t>03103</t>
  </si>
  <si>
    <t>GAUGE, LOW PRESSURE, 2 1/2 INCHES</t>
  </si>
  <si>
    <t>LENZ</t>
  </si>
  <si>
    <t>SAE45-AFC-30HG-120-300-25RC-FF</t>
  </si>
  <si>
    <t>LENCO</t>
  </si>
  <si>
    <t>03107</t>
  </si>
  <si>
    <t>GAUGE,0-30 PSIG,2 1/2 IN DIAL</t>
  </si>
  <si>
    <t>AFC-30-25</t>
  </si>
  <si>
    <t>03108</t>
  </si>
  <si>
    <t>GAUGE, HIGH PRESSURE , 2 1/2 INCHES</t>
  </si>
  <si>
    <t>SAE45-AFC-400-25RC-FF</t>
  </si>
  <si>
    <t>03110</t>
  </si>
  <si>
    <t>GAUGE, HIGH PRESSURE, PSI, BAR</t>
  </si>
  <si>
    <t>03112</t>
  </si>
  <si>
    <t>GAUGE, LOW PRESSURE, PSI-BAR</t>
  </si>
  <si>
    <t>SAE45AFCD30HG</t>
  </si>
  <si>
    <t>03118</t>
  </si>
  <si>
    <t>REGULATOR, AIR PRESSURE W/ GAUGE,</t>
  </si>
  <si>
    <t>P31RA92BN5P</t>
  </si>
  <si>
    <t>03119</t>
  </si>
  <si>
    <t>REGULATOR, AIR PRESSURE W/ GAUGE 0-160 PSIG, 1/2</t>
  </si>
  <si>
    <t>P32RB94BNGP</t>
  </si>
  <si>
    <t>03122</t>
  </si>
  <si>
    <t>REGULATOR,AIR PRESSURE</t>
  </si>
  <si>
    <t>SUNSOURCE</t>
  </si>
  <si>
    <t>R72G-2AK-RMG</t>
  </si>
  <si>
    <t>FAUCO</t>
  </si>
  <si>
    <t>03123</t>
  </si>
  <si>
    <t>REGULATOR,PRESSURE,1-25PSI,BRASS</t>
  </si>
  <si>
    <t>0125344</t>
  </si>
  <si>
    <t>WAREG</t>
  </si>
  <si>
    <t>03501</t>
  </si>
  <si>
    <t>RECEIVER, LIQUID, 8.5 X 41, 75LB</t>
  </si>
  <si>
    <t>03501-79</t>
  </si>
  <si>
    <t>LIQUID LEVEL INDICATOR - 8-7/8" DIA</t>
  </si>
  <si>
    <t>LLG-8</t>
  </si>
  <si>
    <t>03510</t>
  </si>
  <si>
    <t>RECEIVER, LIQUID, 5 X 10, 6 LB, CE</t>
  </si>
  <si>
    <t>6848CE</t>
  </si>
  <si>
    <t>03510-6</t>
  </si>
  <si>
    <t>PART OF 03510</t>
  </si>
  <si>
    <t>03512</t>
  </si>
  <si>
    <t>RECEIVER,LIQUID,6 X 12,10LB,SWEAT CONN</t>
  </si>
  <si>
    <t>3389CE</t>
  </si>
  <si>
    <t>03513</t>
  </si>
  <si>
    <t>RECEIVER, LIQUID, R-404A, CE MARKED</t>
  </si>
  <si>
    <t>3391CE</t>
  </si>
  <si>
    <t>03515</t>
  </si>
  <si>
    <t>RECEIVER LIQUID VERT 6X18 16LB</t>
  </si>
  <si>
    <t>9027</t>
  </si>
  <si>
    <t>03515-6</t>
  </si>
  <si>
    <t>VALVE, RECEIVER LIQUID OUT, 1/2" ID SWEAT</t>
  </si>
  <si>
    <t>PART OF 03515</t>
  </si>
  <si>
    <t>03R001</t>
  </si>
  <si>
    <t>ACCUMULATOR, SUCTION  7/8</t>
  </si>
  <si>
    <t>3738</t>
  </si>
  <si>
    <t>03R002</t>
  </si>
  <si>
    <t>ACCUMULATOR, SUCTION</t>
  </si>
  <si>
    <t>3704</t>
  </si>
  <si>
    <t>03R003</t>
  </si>
  <si>
    <t>3698</t>
  </si>
  <si>
    <t>03R004</t>
  </si>
  <si>
    <t>3708</t>
  </si>
  <si>
    <t>03R005</t>
  </si>
  <si>
    <t>3639</t>
  </si>
  <si>
    <t>04000</t>
  </si>
  <si>
    <t>TANK, VAPOR, 6 X 13, VERTICAL</t>
  </si>
  <si>
    <t>R6-01AG</t>
  </si>
  <si>
    <t>04001</t>
  </si>
  <si>
    <t>TANK, VAPOR, 41 IN  X 8.63</t>
  </si>
  <si>
    <t>RH841A</t>
  </si>
  <si>
    <t>04002</t>
  </si>
  <si>
    <t>VALVE, CHECK, 1/4NPT</t>
  </si>
  <si>
    <t>2249B-2MM</t>
  </si>
  <si>
    <t>04003</t>
  </si>
  <si>
    <t>VALVE, T.E.V., R-503, 1/4 TON, MOP35</t>
  </si>
  <si>
    <t>CKE-1/4-GP</t>
  </si>
  <si>
    <t>04005</t>
  </si>
  <si>
    <t>SEPARATOR, OIL, 3/8 ODS</t>
  </si>
  <si>
    <t>TEMPRITE</t>
  </si>
  <si>
    <t>900</t>
  </si>
  <si>
    <t>TEMPR</t>
  </si>
  <si>
    <t>04008</t>
  </si>
  <si>
    <t>OBS.,VALVE,CHECK,3/8 IN SWEAT</t>
  </si>
  <si>
    <t>SHERWOOD VALVE PRODUCTS INC</t>
  </si>
  <si>
    <t>802B-6ST</t>
  </si>
  <si>
    <t>SUPVA</t>
  </si>
  <si>
    <t>04009</t>
  </si>
  <si>
    <t>SEPARATOR,OIL,1/2,HIGH EFFICIENCY</t>
  </si>
  <si>
    <t>901</t>
  </si>
  <si>
    <t>04020</t>
  </si>
  <si>
    <t>VALVE, T.E.V., R-503, 2 TON, MOP35</t>
  </si>
  <si>
    <t>CWE-2-GP35</t>
  </si>
  <si>
    <t>04022</t>
  </si>
  <si>
    <t>VALVE,TEV,R508B,2 TON,SWEAT CONN</t>
  </si>
  <si>
    <t>SWE-2-GP</t>
  </si>
  <si>
    <t>04028</t>
  </si>
  <si>
    <t>VALVE, T.E.V., R-508B, 1HP, SWEAT CONN.</t>
  </si>
  <si>
    <t>FBEE-1.5-GP35</t>
  </si>
  <si>
    <t>04030</t>
  </si>
  <si>
    <t>VALVE, T.E.V., R-503, 3 TON, MOP35</t>
  </si>
  <si>
    <t>CKE-3-GP</t>
  </si>
  <si>
    <t>04032</t>
  </si>
  <si>
    <t>SWE-3-GP</t>
  </si>
  <si>
    <t>04040</t>
  </si>
  <si>
    <t>OBS.,VALVE, CHECK, 7/8 IN ODS</t>
  </si>
  <si>
    <t>804A-14S</t>
  </si>
  <si>
    <t>04043</t>
  </si>
  <si>
    <t>VALVE, T.E.V., R508B, 2HP, SWEAT CONN.</t>
  </si>
  <si>
    <t>FBEE-2-GP35</t>
  </si>
  <si>
    <t>04044</t>
  </si>
  <si>
    <t>VALVE, TEV, R508B, 2TON, SWEAT CONN</t>
  </si>
  <si>
    <t>04046</t>
  </si>
  <si>
    <t>OBS.,VALVE, CHECK, 1-1/8 IN ODS</t>
  </si>
  <si>
    <t>806C-11S</t>
  </si>
  <si>
    <t>04048</t>
  </si>
  <si>
    <t>VALVE, T.E.V</t>
  </si>
  <si>
    <t>FBEE-3-GP35</t>
  </si>
  <si>
    <t>04050</t>
  </si>
  <si>
    <t>VALVE,TEV,5 TON</t>
  </si>
  <si>
    <t>PWE-5-GP</t>
  </si>
  <si>
    <t>04052</t>
  </si>
  <si>
    <t>VALVE,CHECK, 3/8 ODS</t>
  </si>
  <si>
    <t>SUPERIOR HVACR PRODUCTS</t>
  </si>
  <si>
    <t>900MA-6S</t>
  </si>
  <si>
    <t>SUPPR</t>
  </si>
  <si>
    <t>04054</t>
  </si>
  <si>
    <t>VALVE,CHECK, 5/8 ODS</t>
  </si>
  <si>
    <t>900MA-10S</t>
  </si>
  <si>
    <t>04055</t>
  </si>
  <si>
    <t>VALVE, TEV, R508B, 3TON, SWEAT CONN</t>
  </si>
  <si>
    <t>04056</t>
  </si>
  <si>
    <t>VALVE,CHECK, 7/8 ODS</t>
  </si>
  <si>
    <t>900MA-14S</t>
  </si>
  <si>
    <t>04057</t>
  </si>
  <si>
    <t>VALVE,CHECK 1 1/8 IN ODS</t>
  </si>
  <si>
    <t>900MA-11S</t>
  </si>
  <si>
    <t>04058</t>
  </si>
  <si>
    <t>STRAINER, 1 IN PIPE SIZE</t>
  </si>
  <si>
    <t>MCMASTER-CARR SUPPLY CO.</t>
  </si>
  <si>
    <t>43935K25</t>
  </si>
  <si>
    <t>MCMCA</t>
  </si>
  <si>
    <t>04060</t>
  </si>
  <si>
    <t>SEPARATOR, OIL, 5/8 ODS</t>
  </si>
  <si>
    <t>902</t>
  </si>
  <si>
    <t>04065</t>
  </si>
  <si>
    <t>SEPARATOR, OIL, 7/8 ODS</t>
  </si>
  <si>
    <t>903</t>
  </si>
  <si>
    <t>04070</t>
  </si>
  <si>
    <t>SEPARATOR, OIL, 1-1/8ODS</t>
  </si>
  <si>
    <t>904</t>
  </si>
  <si>
    <t>04075</t>
  </si>
  <si>
    <t>SEPARATOR, OIL, 1-3/8ODS</t>
  </si>
  <si>
    <t>905</t>
  </si>
  <si>
    <t>04100</t>
  </si>
  <si>
    <t>TANK, VAPOR, 12.75 DIA X 66L</t>
  </si>
  <si>
    <t>761-0123-05</t>
  </si>
  <si>
    <t>I:\Engineering\Refrigeration Development\PART ID NUMBERS\Specification Sheets\04100 (Bitzer Approval).lnk#I:\Engineering\Refrigeration Development\PART ID NUMBERS\Specification Sheets\04100 (Bitzer Approval).lnk#</t>
  </si>
  <si>
    <t>04101</t>
  </si>
  <si>
    <t>VALVE, EPR, 0-80 PSI, 3/8 ODF, 70 LB</t>
  </si>
  <si>
    <t>Y1025-2-0/80-3/8</t>
  </si>
  <si>
    <t>04108</t>
  </si>
  <si>
    <t>VALVE,HOT GAS BY-PASS, 0/55, 3/8 IN ODF</t>
  </si>
  <si>
    <t>ADRI-1-1/4-0/55</t>
  </si>
  <si>
    <t>04109</t>
  </si>
  <si>
    <t>VALVE, HOTGAS BY PASS, 3/85, 1/2 IN ODF</t>
  </si>
  <si>
    <t>PACKARD</t>
  </si>
  <si>
    <t>034L0143</t>
  </si>
  <si>
    <t>PACKA</t>
  </si>
  <si>
    <t>04115</t>
  </si>
  <si>
    <t>PHASED OUT,VALVE,E.P.R, 30-100 PSI,W/TAP</t>
  </si>
  <si>
    <t>ORIT-10-30/100-1-1/8</t>
  </si>
  <si>
    <t>04117</t>
  </si>
  <si>
    <t>OBS,VALVE,EPR,75-150 PSIG,5/8 CONNECTION</t>
  </si>
  <si>
    <t>ORIT-12-75/150 5 X 5 ODF</t>
  </si>
  <si>
    <t>04134</t>
  </si>
  <si>
    <t>VALVE,EPR, 0/50 PSI, 5/8IN, ODF</t>
  </si>
  <si>
    <t>ORIT-6-0/50-5/8ODF</t>
  </si>
  <si>
    <t>04135</t>
  </si>
  <si>
    <t>VALVE, EPR, 30/100 PSI, 5/8 IN ODF</t>
  </si>
  <si>
    <t>ORIT-6</t>
  </si>
  <si>
    <t>04160</t>
  </si>
  <si>
    <t>REGULATOR, CRANKCASE PRSSRE,3/8 IN SWEAT</t>
  </si>
  <si>
    <t>CRO-4-0/50</t>
  </si>
  <si>
    <t>04163</t>
  </si>
  <si>
    <t>REGULATOR,CRANKCASE PRESSURE,7/8 SWEAT</t>
  </si>
  <si>
    <t>CROT-6-0/60-7/8</t>
  </si>
  <si>
    <t>04165</t>
  </si>
  <si>
    <t>REGULATOR,CRANKCASE PRESSURE, 1 1/8 SWEAT</t>
  </si>
  <si>
    <t>34L0046</t>
  </si>
  <si>
    <t>04167</t>
  </si>
  <si>
    <t>REGULATOR,CRANKCASE PRSSRE, 1 1/8 IN SWE</t>
  </si>
  <si>
    <t>CROT-10-0/60-1-1/8</t>
  </si>
  <si>
    <t>04201</t>
  </si>
  <si>
    <t>VALVE, HAND EXPANSION, 1/4IN ODS,0.22 ORI DIA</t>
  </si>
  <si>
    <t>HENRY TECHNOLOGIES</t>
  </si>
  <si>
    <t>6291N</t>
  </si>
  <si>
    <t>HENVA</t>
  </si>
  <si>
    <t>04222</t>
  </si>
  <si>
    <t>VALVE, T.E.V., R-134A, 1/6 TON</t>
  </si>
  <si>
    <t>EFJ-1/6-C</t>
  </si>
  <si>
    <t>04238</t>
  </si>
  <si>
    <t>VALVE,HOTGAS BY PASS,0/30,1/2 IN ODF</t>
  </si>
  <si>
    <t>ADRSE-2-0/30 4 ODF</t>
  </si>
  <si>
    <t>04243</t>
  </si>
  <si>
    <t>VALVE, T.E.V., R-404A,</t>
  </si>
  <si>
    <t>FBS-1/8-ZP</t>
  </si>
  <si>
    <t>04252</t>
  </si>
  <si>
    <t>VALVE, T.E.V., R-404A, 1.5HP, SWEAT CONN</t>
  </si>
  <si>
    <t>FBSE-1/2-ZP</t>
  </si>
  <si>
    <t>04268</t>
  </si>
  <si>
    <t>VALVE, T.E.V., R-404A, 2HP, SWEAT CONN.</t>
  </si>
  <si>
    <t>FBSE-1-ZP</t>
  </si>
  <si>
    <t>04273</t>
  </si>
  <si>
    <t>VALVE, T.E.V., R-404A, 3.5HP, SWEAT CONN</t>
  </si>
  <si>
    <t>FBSE-1.5-ZP</t>
  </si>
  <si>
    <t>04278</t>
  </si>
  <si>
    <t>VALVE, T.E.V., R-404A, 6HP, SWEAT CONN.</t>
  </si>
  <si>
    <t>FBSE-2-ZP</t>
  </si>
  <si>
    <t>04295</t>
  </si>
  <si>
    <t>VALVE, HOT GAS BY-PASS, 0/30,5/8 IN ODF</t>
  </si>
  <si>
    <t>ADRPE-3</t>
  </si>
  <si>
    <t>04320</t>
  </si>
  <si>
    <t>VALVE, HOT GAS BY-PASS, 0/30,7/8 IN ODF</t>
  </si>
  <si>
    <t>ADRHE-6</t>
  </si>
  <si>
    <t>04323</t>
  </si>
  <si>
    <t>VALVE, T.E.V., R-404A, 3 TON, SWEAT CONN</t>
  </si>
  <si>
    <t>SSE-3-ZP</t>
  </si>
  <si>
    <t>04326</t>
  </si>
  <si>
    <t>VALVE, T.E.V., R-404A, 4 TON</t>
  </si>
  <si>
    <t>CSE-4-ZP</t>
  </si>
  <si>
    <t>04328</t>
  </si>
  <si>
    <t>VALVE,TEV,R404A,4 TON,SWEAT CONN</t>
  </si>
  <si>
    <t>SSE-4-ZP</t>
  </si>
  <si>
    <t>04332</t>
  </si>
  <si>
    <t>VALVE,TEV,R404A,6 TON,SWEAT CONN</t>
  </si>
  <si>
    <t>SSE-6-ZP</t>
  </si>
  <si>
    <t>04335</t>
  </si>
  <si>
    <t>VALVE, BY-PASS, 80/325, 5/8 IN ODF</t>
  </si>
  <si>
    <t>X30-ORI-6-80/325H</t>
  </si>
  <si>
    <t>04365</t>
  </si>
  <si>
    <t>VALVE, COMPRESSOR INJECTION T.E.V. (193°F )</t>
  </si>
  <si>
    <t>998-0500-00</t>
  </si>
  <si>
    <t>04366</t>
  </si>
  <si>
    <t>VALVE,COMPRESSOR INJECTION KIT</t>
  </si>
  <si>
    <t>510-7002-23</t>
  </si>
  <si>
    <t>04409</t>
  </si>
  <si>
    <t>VALVE, T.E.V., R-404A, 9 TON</t>
  </si>
  <si>
    <t>OSE-9-ZP</t>
  </si>
  <si>
    <t>04413</t>
  </si>
  <si>
    <t>VALVE, T.E.V., R-404A, 12 TON</t>
  </si>
  <si>
    <t>OSE-12-ZP</t>
  </si>
  <si>
    <t>04500</t>
  </si>
  <si>
    <t>TANK, VAPOR, 6HR30</t>
  </si>
  <si>
    <t>R6-03CF</t>
  </si>
  <si>
    <t>04501</t>
  </si>
  <si>
    <t>TANK, VAPOR, 2 &amp;3.5HP, ZP-LINE</t>
  </si>
  <si>
    <t>R6-03AU</t>
  </si>
  <si>
    <t>04503</t>
  </si>
  <si>
    <t>TANK,VAPOR,6HP,ZP-LINE</t>
  </si>
  <si>
    <t>RV824E</t>
  </si>
  <si>
    <t>04504</t>
  </si>
  <si>
    <t>TANK,VAPOR,8 5/8 x 28, SUVA 95</t>
  </si>
  <si>
    <t>2885</t>
  </si>
  <si>
    <t>04505</t>
  </si>
  <si>
    <t>TANK, VAPOR, 6HR36</t>
  </si>
  <si>
    <t>04507</t>
  </si>
  <si>
    <t>TANK,VAPOR, .33HP,MICROCLIMATE</t>
  </si>
  <si>
    <t>04508</t>
  </si>
  <si>
    <t>TANK, VAPOR, 1-3.5 HP, ZP-LINE, CE</t>
  </si>
  <si>
    <t>R6-03AU-CE</t>
  </si>
  <si>
    <t>04509</t>
  </si>
  <si>
    <t>TANK, VAPOR, 6 HP, ZP-LINE, CE</t>
  </si>
  <si>
    <t>RV824-CE</t>
  </si>
  <si>
    <t>04510</t>
  </si>
  <si>
    <t>TANK,VAPOR,10 HP</t>
  </si>
  <si>
    <t>04515</t>
  </si>
  <si>
    <t>TANK,VAPOR,10 HP 12-3/4" OD X 48"</t>
  </si>
  <si>
    <t>04800</t>
  </si>
  <si>
    <t>VALVE, PRESSURE RELIEF, 150 LB, LN2</t>
  </si>
  <si>
    <t>INTEGRATED PROCESS TECHNOLOGIES INC</t>
  </si>
  <si>
    <t>PRV9432T150</t>
  </si>
  <si>
    <t>INTPR</t>
  </si>
  <si>
    <t>04806</t>
  </si>
  <si>
    <t>OBSOLETE, VALVE,TEV,R-502,TY2,SWEAT</t>
  </si>
  <si>
    <t>68-3282</t>
  </si>
  <si>
    <t>04808</t>
  </si>
  <si>
    <t>OBS,VALVE,TES 2 , R404A/R507</t>
  </si>
  <si>
    <t>68-3285</t>
  </si>
  <si>
    <t>04830</t>
  </si>
  <si>
    <t>VALVE, T.E.V. LIQUID INJECTION, 1 HP,</t>
  </si>
  <si>
    <t>FBJ-1.5-C</t>
  </si>
  <si>
    <t>04835</t>
  </si>
  <si>
    <t>VALVE, T.E.V., 2 TON</t>
  </si>
  <si>
    <t>FBJ-2-C</t>
  </si>
  <si>
    <t>04840</t>
  </si>
  <si>
    <t>VALVE, T.E.V., 3 TON</t>
  </si>
  <si>
    <t>FBJ-3-C</t>
  </si>
  <si>
    <t>04849</t>
  </si>
  <si>
    <t>VALVE, T.E.V., 5 TON</t>
  </si>
  <si>
    <t>SJE-5-C</t>
  </si>
  <si>
    <t>04851</t>
  </si>
  <si>
    <t>VALVE,TEV,6 TON, SWEAT CONN</t>
  </si>
  <si>
    <t>SJE-6-C</t>
  </si>
  <si>
    <t>04855</t>
  </si>
  <si>
    <t>VALVE, T.E.V., R-13, 5 TON, MOP35</t>
  </si>
  <si>
    <t>PEE-5-GP35</t>
  </si>
  <si>
    <t>04R001</t>
  </si>
  <si>
    <t>CONDENSER, AIRCOOLED, 460V-3HP-60HZ</t>
  </si>
  <si>
    <t>BILL W. CROSS COMPANY</t>
  </si>
  <si>
    <t>PFC-28</t>
  </si>
  <si>
    <t>BILCR</t>
  </si>
  <si>
    <t>04R002</t>
  </si>
  <si>
    <t>PFC-8</t>
  </si>
  <si>
    <t>04R003</t>
  </si>
  <si>
    <t>CONDENSER, AIR COOLED, 460V-3PH-60HZ</t>
  </si>
  <si>
    <t>PFC-42</t>
  </si>
  <si>
    <t>04R004</t>
  </si>
  <si>
    <t>CONDENSER, AIR-COOLED REMOTE, 460/3/60</t>
  </si>
  <si>
    <t>04R005</t>
  </si>
  <si>
    <t>CONDENSER, AIR-COOLED REMOTE, 230/3/60</t>
  </si>
  <si>
    <t>04R006</t>
  </si>
  <si>
    <t>PFC-18</t>
  </si>
  <si>
    <t>04R006-105</t>
  </si>
  <si>
    <t>SWITCH, PRESSURE - FAN CYCLE</t>
  </si>
  <si>
    <t>PART OF 04R006</t>
  </si>
  <si>
    <t>04R006-106</t>
  </si>
  <si>
    <t>04R006-22</t>
  </si>
  <si>
    <t>04R006-29</t>
  </si>
  <si>
    <t>VALVE, HEAD PRESSURE CONTROL</t>
  </si>
  <si>
    <t>04R006-4</t>
  </si>
  <si>
    <t>VALVE, RECEIVER INLET</t>
  </si>
  <si>
    <t>04R006-44</t>
  </si>
  <si>
    <t>DESUPERHEATER CIRCUIT</t>
  </si>
  <si>
    <t>04R006-6</t>
  </si>
  <si>
    <t>04R006-80</t>
  </si>
  <si>
    <t>FUSIBLE RELEIF PLUG</t>
  </si>
  <si>
    <t>04R006-97</t>
  </si>
  <si>
    <t>HEATER, LIQUID RECEIVER</t>
  </si>
  <si>
    <t>HEATER, RECEIVER</t>
  </si>
  <si>
    <t>04R006-99</t>
  </si>
  <si>
    <t>THERMOSTAT, HEATED RECEIVER</t>
  </si>
  <si>
    <t>THERMOSTAT, LIQUID RECEIVER</t>
  </si>
  <si>
    <t>04R007</t>
  </si>
  <si>
    <t>04R008</t>
  </si>
  <si>
    <t>PFC-21</t>
  </si>
  <si>
    <t>04R009</t>
  </si>
  <si>
    <t>CONDENSER, AIR COOLED REMOTE, 460V/3/60</t>
  </si>
  <si>
    <t>KEEPRITE REFRIGERATION</t>
  </si>
  <si>
    <t>KCL074-T4A-E22V</t>
  </si>
  <si>
    <t>KEERI</t>
  </si>
  <si>
    <t>04R009-22</t>
  </si>
  <si>
    <t>LIQUID RECEIVER, 10.75 X 96</t>
  </si>
  <si>
    <t>PART OF 04R009</t>
  </si>
  <si>
    <t>04R009-36V</t>
  </si>
  <si>
    <t>VALVE, REFRIGERATION ACCESS</t>
  </si>
  <si>
    <t>04R009-37</t>
  </si>
  <si>
    <t>VALVE, CHECK</t>
  </si>
  <si>
    <t>04R009-4</t>
  </si>
  <si>
    <t>VALVE, LIQUID OUT RECEIVER, 1-1/8" ODS</t>
  </si>
  <si>
    <t>04R009-44</t>
  </si>
  <si>
    <t>DESUPERHEATER, DISCHARGE</t>
  </si>
  <si>
    <t>04R009-6</t>
  </si>
  <si>
    <t>VALVE, LIQUID IN RECEIVER, 1-1/8" ODS</t>
  </si>
  <si>
    <t>04R009-79</t>
  </si>
  <si>
    <t>INDICATOR, LIQUID LEVEL, RECEIVER</t>
  </si>
  <si>
    <t>04R009-80</t>
  </si>
  <si>
    <t>VALVE, RELEIF - RECEIVER</t>
  </si>
  <si>
    <t>04R009-97</t>
  </si>
  <si>
    <t>05006</t>
  </si>
  <si>
    <t>VALVE, BALL IN LINE, 3/8 IN ODS</t>
  </si>
  <si>
    <t>586WA-6ST</t>
  </si>
  <si>
    <t>05011</t>
  </si>
  <si>
    <t>VALVE, BALL IN LINE, 1/2 IN ODS</t>
  </si>
  <si>
    <t>586WA-8ST</t>
  </si>
  <si>
    <t>05012</t>
  </si>
  <si>
    <t>VALVE, RELIEF, 3/8NPT, 400PSIG</t>
  </si>
  <si>
    <t>3002-400</t>
  </si>
  <si>
    <t>05013</t>
  </si>
  <si>
    <t>VALVE, SOLENOID, ASCO S/S, 120V</t>
  </si>
  <si>
    <t>AUTOMATIC SWITCH</t>
  </si>
  <si>
    <t>HV429718001</t>
  </si>
  <si>
    <t>MCNEQ</t>
  </si>
  <si>
    <t>05017</t>
  </si>
  <si>
    <t>VALVE, SOLENOID, DUAL 4-WAY</t>
  </si>
  <si>
    <t>CXX-4223-043-A120</t>
  </si>
  <si>
    <t>05019</t>
  </si>
  <si>
    <t>VALVE,RELIEF,400 PSI</t>
  </si>
  <si>
    <t>3016-400</t>
  </si>
  <si>
    <t>05021</t>
  </si>
  <si>
    <t>VALVE,RELIEF,450 PSI</t>
  </si>
  <si>
    <t>3002-450</t>
  </si>
  <si>
    <t>05022</t>
  </si>
  <si>
    <t>VALVE,SERVICE RECEIVER, 1/2  ID SWEAT</t>
  </si>
  <si>
    <t>24601</t>
  </si>
  <si>
    <t>05023</t>
  </si>
  <si>
    <t>ADAPTER,ANGLE,1/2 INCH ID SWEAT</t>
  </si>
  <si>
    <t>24253</t>
  </si>
  <si>
    <t>05025</t>
  </si>
  <si>
    <t>VALVE, SERVICE RECEIVER, 5/8 IN ODS</t>
  </si>
  <si>
    <t>500-019</t>
  </si>
  <si>
    <t>05027</t>
  </si>
  <si>
    <t>VALVE, BALL, 1/4 IN HIGH PERFORMANCE</t>
  </si>
  <si>
    <t>937202</t>
  </si>
  <si>
    <t>05028</t>
  </si>
  <si>
    <t>VALVE, SERVICE RECEIVER, 7/8 IN ODS</t>
  </si>
  <si>
    <t>50-034</t>
  </si>
  <si>
    <t>05029</t>
  </si>
  <si>
    <t>VALVE,SERVICE RECEIVER,1 1/8 IN ODS</t>
  </si>
  <si>
    <t>50-048</t>
  </si>
  <si>
    <t>05030</t>
  </si>
  <si>
    <t>VALVE, BALL IN LINE, 5/8 IN ODS</t>
  </si>
  <si>
    <t>586WA-10ST</t>
  </si>
  <si>
    <t>05037</t>
  </si>
  <si>
    <t>VALVE, BALL, 3/8", W/ SERVICE VALVE</t>
  </si>
  <si>
    <t>907203</t>
  </si>
  <si>
    <t>05039</t>
  </si>
  <si>
    <t>VALVE, BALL, 7/8", W/ SERVICE VALVE</t>
  </si>
  <si>
    <t>907307</t>
  </si>
  <si>
    <t>05040</t>
  </si>
  <si>
    <t>VALVE, BALL IN LINE, 7/8 IN ODS</t>
  </si>
  <si>
    <t>587WA-14ST</t>
  </si>
  <si>
    <t>05044</t>
  </si>
  <si>
    <t>VALVE, SOLENOID, AIR SUP, 1/2  NPT, 120V</t>
  </si>
  <si>
    <t>8210G94</t>
  </si>
  <si>
    <t>05045</t>
  </si>
  <si>
    <t>VALVE, BALL, 1/2", W/ SERVICE VALVE</t>
  </si>
  <si>
    <t>907304</t>
  </si>
  <si>
    <t>05050</t>
  </si>
  <si>
    <t>CTE14</t>
  </si>
  <si>
    <t>05051</t>
  </si>
  <si>
    <t>VALVE, BALL IN LINE, 1-1/8 IN ODS</t>
  </si>
  <si>
    <t>591-WA-11ST</t>
  </si>
  <si>
    <t>05052</t>
  </si>
  <si>
    <t>VALVE, BALL IN LINE, 1-3/8 IN ODS</t>
  </si>
  <si>
    <t>592WA-13ST</t>
  </si>
  <si>
    <t>05057</t>
  </si>
  <si>
    <t>VALVE,SOL GATE,NO,230V/50HZ, 3/4 IN</t>
  </si>
  <si>
    <t>8267G023</t>
  </si>
  <si>
    <t>05124</t>
  </si>
  <si>
    <t>VALVE, SOLENOID, 120V 1/8 IN LN2</t>
  </si>
  <si>
    <t>8263H240LT</t>
  </si>
  <si>
    <t>05130</t>
  </si>
  <si>
    <t>VALVE, SOLENOID, 115V 1/4 IN LN2</t>
  </si>
  <si>
    <t>8262H114LT</t>
  </si>
  <si>
    <t>05457</t>
  </si>
  <si>
    <t>VALVE, ROTALOCK, 1-3/8 IN ODS</t>
  </si>
  <si>
    <t>50-043</t>
  </si>
  <si>
    <t>05460</t>
  </si>
  <si>
    <t>VALVE KIT,4-6 HP,SCROLL</t>
  </si>
  <si>
    <t>998-5100-48</t>
  </si>
  <si>
    <t>05461</t>
  </si>
  <si>
    <t>VALVE KIT, 7.5 HP, SCROLL</t>
  </si>
  <si>
    <t>998-5100-62</t>
  </si>
  <si>
    <t>05461-15</t>
  </si>
  <si>
    <t>VALVE, SUCTION SERVICE, 7/8" ODS ROTALOCK W/ ADAPTER (PART OF 05461)</t>
  </si>
  <si>
    <t>998-0510-90</t>
  </si>
  <si>
    <t>05461-2</t>
  </si>
  <si>
    <t>VALVE, DISCHARGE SERVICE, 3/4" ODS ROTALOCK W/ ADAPTER (PART OF 05461)</t>
  </si>
  <si>
    <t>998-0511-02</t>
  </si>
  <si>
    <t>05465</t>
  </si>
  <si>
    <t>VALVE KIT, 7.5-13 HP,SCROLL</t>
  </si>
  <si>
    <t>998-5100-27</t>
  </si>
  <si>
    <t>05465-15</t>
  </si>
  <si>
    <t>05465-2</t>
  </si>
  <si>
    <t>VALVE, DISCHARGE SERVICE VALVE 7/8" ODS (PART OF 05465)</t>
  </si>
  <si>
    <t>05465-58</t>
  </si>
  <si>
    <t>05470</t>
  </si>
  <si>
    <t>VALVE KIT,15HP,SCROLL</t>
  </si>
  <si>
    <t>998-5100-38</t>
  </si>
  <si>
    <t>05625</t>
  </si>
  <si>
    <t>VALVE, SOLENOID, 3/8 ODF, RAPID CYCLE</t>
  </si>
  <si>
    <t>XWG</t>
  </si>
  <si>
    <t>05635</t>
  </si>
  <si>
    <t>XUP</t>
  </si>
  <si>
    <t>05655</t>
  </si>
  <si>
    <t>XRN-1</t>
  </si>
  <si>
    <t>05665</t>
  </si>
  <si>
    <t>VALVE, SOLENOID 5/8 ODF, RAPID CYCLE</t>
  </si>
  <si>
    <t>XRM-1</t>
  </si>
  <si>
    <t>05678</t>
  </si>
  <si>
    <t>VALVE, SOLENOID, 7/8 ODF RAPID CYCLE</t>
  </si>
  <si>
    <t>XPO-3</t>
  </si>
  <si>
    <t>05803</t>
  </si>
  <si>
    <t>VALVE, SOLENOID, NC 1/4 IN 115VAC</t>
  </si>
  <si>
    <t>8262H208  120/60</t>
  </si>
  <si>
    <t>05805</t>
  </si>
  <si>
    <t>VALVE,SOLENOID,LN2, 1/2 IN NPT</t>
  </si>
  <si>
    <t>8222G2LT</t>
  </si>
  <si>
    <t>05810</t>
  </si>
  <si>
    <t>VALVE, SOLENOID, LN2, 3/4 NPT, 120 VAC</t>
  </si>
  <si>
    <t>8222G3LT</t>
  </si>
  <si>
    <t>05R001</t>
  </si>
  <si>
    <t>BOILER, ASSEMBLY, 7.5KW, 460 VOLT</t>
  </si>
  <si>
    <t>PURE HUMIDIFER COMPANY</t>
  </si>
  <si>
    <t>ESDDR-7.5</t>
  </si>
  <si>
    <t>PURHU</t>
  </si>
  <si>
    <t>05R002</t>
  </si>
  <si>
    <t>BOILER, ASSEMBLY, 7.5KW, 230 VOLT</t>
  </si>
  <si>
    <t>05R005</t>
  </si>
  <si>
    <t>EVAPORATOR ASSY, R-508B, QUOTE#0411-133</t>
  </si>
  <si>
    <t>05R006</t>
  </si>
  <si>
    <t>BOILER ASSY, 16.5 KW, 460 VOLT</t>
  </si>
  <si>
    <t>ESDDR-16.5</t>
  </si>
  <si>
    <t>05R006-11</t>
  </si>
  <si>
    <t>VALVE, DRAIN</t>
  </si>
  <si>
    <t>PART OF 05R006</t>
  </si>
  <si>
    <t>05R006-12</t>
  </si>
  <si>
    <t>HOSE, STEAM</t>
  </si>
  <si>
    <t>05R006-14</t>
  </si>
  <si>
    <t>SWITCH, FLOAT</t>
  </si>
  <si>
    <t>05R006-7</t>
  </si>
  <si>
    <t>BOILER, FLOAT LEVEL</t>
  </si>
  <si>
    <t>05R006-9</t>
  </si>
  <si>
    <t>HEATER, 16.5 KW</t>
  </si>
  <si>
    <t>05R007</t>
  </si>
  <si>
    <t>BOILER ASSY, 16.5 KW, 230 VOLT</t>
  </si>
  <si>
    <t>06460</t>
  </si>
  <si>
    <t>PANEL, W/COVER, HUMIDITY, MTG., ZH/CTH</t>
  </si>
  <si>
    <t>DWG. 06460</t>
  </si>
  <si>
    <t>06474</t>
  </si>
  <si>
    <t>PANEL,DRY AIR PURGE,W/COVER Z</t>
  </si>
  <si>
    <t>06691</t>
  </si>
  <si>
    <t>PAN, DRIP, LN2</t>
  </si>
  <si>
    <t>DWG. 06691</t>
  </si>
  <si>
    <t>06R001</t>
  </si>
  <si>
    <t>CONNECTOR, PLUG, QUICK DISCONNECT, 1/4</t>
  </si>
  <si>
    <t>6718K26</t>
  </si>
  <si>
    <t>06R002</t>
  </si>
  <si>
    <t>AIR DRIER,REGEN,15.5CFM IN,11.3 CFM OUT</t>
  </si>
  <si>
    <t>HR6-12-074</t>
  </si>
  <si>
    <t>06R003</t>
  </si>
  <si>
    <t>TILT WALL MOUNTING BRACKET</t>
  </si>
  <si>
    <t>DASMB2</t>
  </si>
  <si>
    <t>06R004</t>
  </si>
  <si>
    <t>AIR DRIER, 115 VAC, 15.0 SCFM @80 PSI IN</t>
  </si>
  <si>
    <t>DAS7</t>
  </si>
  <si>
    <t>06R005</t>
  </si>
  <si>
    <t>MUNTERS ML270 DESICCANT DEHUMIDIFIER</t>
  </si>
  <si>
    <t>MUNTERS CORPORATION</t>
  </si>
  <si>
    <t>ML270</t>
  </si>
  <si>
    <t>MUNCO</t>
  </si>
  <si>
    <t>06R006</t>
  </si>
  <si>
    <t>AIR DRIER, REGEN,20.3CFM IN,14.4 CFM OUT</t>
  </si>
  <si>
    <t>HR6.5-12-089</t>
  </si>
  <si>
    <t>06R007</t>
  </si>
  <si>
    <t>REGENERATIVE DRYER 30.1 CFM DLVRD 2 80PSI</t>
  </si>
  <si>
    <t>HR7-12-S27</t>
  </si>
  <si>
    <t>06R008</t>
  </si>
  <si>
    <t>REGENERATIVE DRYER, 15 CFM DELVRD @ 80PSI</t>
  </si>
  <si>
    <t>HR6.5-12-098</t>
  </si>
  <si>
    <t>07R001</t>
  </si>
  <si>
    <t>CYLINDER-PNUEMATIC, 2 BORE X 17.25 STRO</t>
  </si>
  <si>
    <t>OHIO TRANSMISSION &amp; PUMP COMPANY</t>
  </si>
  <si>
    <t>BC220/SK17.25/RT2/FM2</t>
  </si>
  <si>
    <t>NIMFL</t>
  </si>
  <si>
    <t>08009</t>
  </si>
  <si>
    <t>ADAPTER,3/8 ODF,SWEAT,TEV</t>
  </si>
  <si>
    <t>068-206066</t>
  </si>
  <si>
    <t>08010</t>
  </si>
  <si>
    <t>ADAPTER, FEMALE, BRA, 1/4FX 1/4M</t>
  </si>
  <si>
    <t>CAMPBELL HAUSFELD LLC</t>
  </si>
  <si>
    <t>P-U3-4B</t>
  </si>
  <si>
    <t>CERIN</t>
  </si>
  <si>
    <t>08045</t>
  </si>
  <si>
    <t>FITTING,HOSE,MALE, BRA 3/8X1/8</t>
  </si>
  <si>
    <t>FORBERG SCIENTIFIC INC.</t>
  </si>
  <si>
    <t>125HBL6-2</t>
  </si>
  <si>
    <t>MWHOT</t>
  </si>
  <si>
    <t>08050</t>
  </si>
  <si>
    <t>FITTING, HOSE, MALE, BRA 3/8X1/4</t>
  </si>
  <si>
    <t>P-201A-6B</t>
  </si>
  <si>
    <t>08058</t>
  </si>
  <si>
    <t>FITTING,HOSE,MALE,BRASS 1/4MPT X 1/2H</t>
  </si>
  <si>
    <t>P-201A-8B</t>
  </si>
  <si>
    <t>08070</t>
  </si>
  <si>
    <t>FITTING, HOSE, MALE,BRA, 1/2X3/8</t>
  </si>
  <si>
    <t>P-201A-8C</t>
  </si>
  <si>
    <t>08075</t>
  </si>
  <si>
    <t>FITTING, HOSE,MALE, BRA, 1/2X1/2</t>
  </si>
  <si>
    <t>P-201A-8D</t>
  </si>
  <si>
    <t>08090</t>
  </si>
  <si>
    <t>FITTING, HOSE,MALE, BRA, 5/8X1/2</t>
  </si>
  <si>
    <t>P-201A-10D</t>
  </si>
  <si>
    <t>08095</t>
  </si>
  <si>
    <t>FITTING, HOSE,MALE, BRA, 5/8X3/4</t>
  </si>
  <si>
    <t>P-201A-10E</t>
  </si>
  <si>
    <t>08097</t>
  </si>
  <si>
    <t>FITTING,HOSE,MALE,BRASS,1 X 1</t>
  </si>
  <si>
    <t>P-201A-16F</t>
  </si>
  <si>
    <t>08R001</t>
  </si>
  <si>
    <t>PUMP-VACUUM W/OIL MIST 1.5HP,208/230/460</t>
  </si>
  <si>
    <t>TUTHILL PUMP COMPANY</t>
  </si>
  <si>
    <t>KUV-25</t>
  </si>
  <si>
    <t>CROCO</t>
  </si>
  <si>
    <t>08R002</t>
  </si>
  <si>
    <t>PUMP-VACUUM, W/ OIL MIST ELIMINATOR</t>
  </si>
  <si>
    <t>TUTHILL CORPORATION</t>
  </si>
  <si>
    <t>KSVB-65</t>
  </si>
  <si>
    <t>KINVC</t>
  </si>
  <si>
    <t>09004</t>
  </si>
  <si>
    <t>COMP, MALE 1/8T X 1/8MPT, BRASS</t>
  </si>
  <si>
    <t>5272K292</t>
  </si>
  <si>
    <t>09005</t>
  </si>
  <si>
    <t>BUSHING,REDUCING,BRA,1/4X1/8</t>
  </si>
  <si>
    <t>P-110A-BA</t>
  </si>
  <si>
    <t>09010</t>
  </si>
  <si>
    <t>BUSHING,HEX PIPE,BRASS,3/8X1/8</t>
  </si>
  <si>
    <t>110A-CA</t>
  </si>
  <si>
    <t>09015</t>
  </si>
  <si>
    <t>BUSHING,REDUCING,BRASS,3/8X1/4</t>
  </si>
  <si>
    <t>P-110A-CB</t>
  </si>
  <si>
    <t>09018</t>
  </si>
  <si>
    <t>CONNECTOR, PRESTOK, 1/4T  X  1/4 PIPE</t>
  </si>
  <si>
    <t>68PL-4-4</t>
  </si>
  <si>
    <t>09019</t>
  </si>
  <si>
    <t>CONN., PRESTOLOK, 1/4 T X 1/8 PIPE</t>
  </si>
  <si>
    <t>68PL-4-2</t>
  </si>
  <si>
    <t>09022</t>
  </si>
  <si>
    <t>CONNECTOR, COMP, FEMALE 3/8T  X  1/4FPT</t>
  </si>
  <si>
    <t>P-966A-6B</t>
  </si>
  <si>
    <t>09025</t>
  </si>
  <si>
    <t>BUSHING,REDUCING,BRASS,1/2X1/4</t>
  </si>
  <si>
    <t>P-110A-DB</t>
  </si>
  <si>
    <t>09029</t>
  </si>
  <si>
    <t>ELBOW, STREET, BRASS, 1/4FPTx1/8MPT</t>
  </si>
  <si>
    <t>P-128A-BA</t>
  </si>
  <si>
    <t>09030</t>
  </si>
  <si>
    <t>BUSHING,REDUCING,BRASS,1/2 X 3/8</t>
  </si>
  <si>
    <t>P-110A-DC</t>
  </si>
  <si>
    <t>09040</t>
  </si>
  <si>
    <t>BUSHING,REDUCING,BRASS 3/4 X 1/2</t>
  </si>
  <si>
    <t>P-110A-ED</t>
  </si>
  <si>
    <t>09045</t>
  </si>
  <si>
    <t>BUSHING,REDUCING,BRASS,1 X 1/2</t>
  </si>
  <si>
    <t>P-110A-FD</t>
  </si>
  <si>
    <t>09050</t>
  </si>
  <si>
    <t>BUSHING,REDUCING,BRASS,1 X 3/4</t>
  </si>
  <si>
    <t>P-110A-FE</t>
  </si>
  <si>
    <t>09051</t>
  </si>
  <si>
    <t>CAP, FLUID, NICKLE PLATED BRASS</t>
  </si>
  <si>
    <t>SPRAYING SYSTEM CO.</t>
  </si>
  <si>
    <t>PF-1250</t>
  </si>
  <si>
    <t>SPRSY</t>
  </si>
  <si>
    <t>09052</t>
  </si>
  <si>
    <t>CAP, AIR, NICKLE PLATED BRASS</t>
  </si>
  <si>
    <t>PA-73420</t>
  </si>
  <si>
    <t>09056</t>
  </si>
  <si>
    <t>CAP, FLUID,PLATED BRASS</t>
  </si>
  <si>
    <t>PF-1650</t>
  </si>
  <si>
    <t>09065</t>
  </si>
  <si>
    <t>BUSHING,REDUCING,BRASS,2X11/2</t>
  </si>
  <si>
    <t>CINCINNATI PIPING SUPPLY, INC.</t>
  </si>
  <si>
    <t>NONE</t>
  </si>
  <si>
    <t>CINPI</t>
  </si>
  <si>
    <t>09067</t>
  </si>
  <si>
    <t>BUSHING, BRASS, 2 1/2" X 2"</t>
  </si>
  <si>
    <t>4429K428</t>
  </si>
  <si>
    <t>09106</t>
  </si>
  <si>
    <t>CONNECTOR, COMP, MALE 1/4T X 1/8MPT</t>
  </si>
  <si>
    <t>P-968A-4A</t>
  </si>
  <si>
    <t>09108</t>
  </si>
  <si>
    <t>CONNECTOR, COMP, MALE 1/4T X 1/4MPT</t>
  </si>
  <si>
    <t>68CA4-4</t>
  </si>
  <si>
    <t>09120</t>
  </si>
  <si>
    <t>CONNECTOR, COMP, MALE 3/8T X 1/8MPT</t>
  </si>
  <si>
    <t>P-968A-6A</t>
  </si>
  <si>
    <t>09122</t>
  </si>
  <si>
    <t>CONNECTOR, COMP, MALE 3/8T X 1/4MPT</t>
  </si>
  <si>
    <t>68CA-6-4</t>
  </si>
  <si>
    <t>09123</t>
  </si>
  <si>
    <t>TEE, MALE, RUN, BRASS 1/4MPT X 3/8 X 3/8</t>
  </si>
  <si>
    <t>5220K152</t>
  </si>
  <si>
    <t>09124</t>
  </si>
  <si>
    <t>CONNECTOR, COMP, MALE 3/8T X 3/8MPT</t>
  </si>
  <si>
    <t>5220K740</t>
  </si>
  <si>
    <t>09125</t>
  </si>
  <si>
    <t>CONNECTOR, COMP, 3/8T X 3/8T, BRASS</t>
  </si>
  <si>
    <t>P-962A-66</t>
  </si>
  <si>
    <t>09126</t>
  </si>
  <si>
    <t>CONNECTOR, COMP, MALE 3/8T X 1/2MPT</t>
  </si>
  <si>
    <t>P-968A-6D</t>
  </si>
  <si>
    <t>09130</t>
  </si>
  <si>
    <t>CONNECTOR, COMP, MALE 1/2T X 1/4MPT</t>
  </si>
  <si>
    <t>P-968A-8B</t>
  </si>
  <si>
    <t>09132</t>
  </si>
  <si>
    <t>CONNECTOR, COMP, MALE 1/2T X 3/8MPT</t>
  </si>
  <si>
    <t>P-968A-8C</t>
  </si>
  <si>
    <t>09134</t>
  </si>
  <si>
    <t>CONNECTOR, COMP, MALE 1/2T X 1/2MPT</t>
  </si>
  <si>
    <t>P-968A-8D</t>
  </si>
  <si>
    <t>09135</t>
  </si>
  <si>
    <t>CONNECTOR, COMP, 1/2T X 1/2MPT, BORED-</t>
  </si>
  <si>
    <t>B-810-1-8BT-AY</t>
  </si>
  <si>
    <t>CINVA</t>
  </si>
  <si>
    <t>09136</t>
  </si>
  <si>
    <t>CONNECTOR, COMP, MALE 1/2T X 3/4MPT</t>
  </si>
  <si>
    <t>5220K790</t>
  </si>
  <si>
    <t>09138</t>
  </si>
  <si>
    <t>CONNECTOR, COMP, MALE 5/8T X 3/8MPT</t>
  </si>
  <si>
    <t>5220K810</t>
  </si>
  <si>
    <t>09140</t>
  </si>
  <si>
    <t>CONNECTOR, COMP, MALE 5/8T X 1/2MPT</t>
  </si>
  <si>
    <t>P-968A-10D</t>
  </si>
  <si>
    <t>09142</t>
  </si>
  <si>
    <t>CONNECTOR, COMP, MALE 5/8T X 3/4MPT</t>
  </si>
  <si>
    <t>68CA10-12</t>
  </si>
  <si>
    <t>09144</t>
  </si>
  <si>
    <t>CONNECTOR, COMP, MALE 3/4T X 1/2MPT</t>
  </si>
  <si>
    <t>68CA12-8</t>
  </si>
  <si>
    <t>09146</t>
  </si>
  <si>
    <t>CONNECTOR, COMP, MALE 3/4T X 3/4MPT</t>
  </si>
  <si>
    <t>W W GRAINGER  INC.</t>
  </si>
  <si>
    <t>6LH95</t>
  </si>
  <si>
    <t>WWGRA</t>
  </si>
  <si>
    <t>09148</t>
  </si>
  <si>
    <t>CONNECTOR, COMP, MALE 7/8T X 3/4MPT</t>
  </si>
  <si>
    <t>6LH97</t>
  </si>
  <si>
    <t>09150</t>
  </si>
  <si>
    <t>CONNECTOR, FLARE, MALE 3/8 T X 3/8 FPT</t>
  </si>
  <si>
    <t>50635K439</t>
  </si>
  <si>
    <t>09151</t>
  </si>
  <si>
    <t>CONNECTOR,FLARE,3/8T X 1/4FPT</t>
  </si>
  <si>
    <t>09152</t>
  </si>
  <si>
    <t>CONNECTOR, FLARE, MALE 3/8 T X 3/8 MPT</t>
  </si>
  <si>
    <t>50635K382</t>
  </si>
  <si>
    <t>09154</t>
  </si>
  <si>
    <t>CONNECTOR, COMP, 1/2 T X 3/8 FNPT, SS</t>
  </si>
  <si>
    <t>SS-810-7-6</t>
  </si>
  <si>
    <t>09156</t>
  </si>
  <si>
    <t>CONNECTOR, COMP, 1/2 T X 1/2 MNPT, SS</t>
  </si>
  <si>
    <t>SS-810-1-8</t>
  </si>
  <si>
    <t>09158</t>
  </si>
  <si>
    <t>CONNECTOR, COMP, TEE, 1/2 T, SS</t>
  </si>
  <si>
    <t>SS-810-3</t>
  </si>
  <si>
    <t>09160</t>
  </si>
  <si>
    <t>CONNECTOR, COMP, ELBOW, 1/2 T, SS</t>
  </si>
  <si>
    <t>SS-810-9</t>
  </si>
  <si>
    <t>09162</t>
  </si>
  <si>
    <t>CONNECTOR, COMP, 5/8T X 3/4 MNPT, SS</t>
  </si>
  <si>
    <t>SS-1010-1-12</t>
  </si>
  <si>
    <t>09164</t>
  </si>
  <si>
    <t>CONNECTOR, COMP, TEE, 5/8T, SS</t>
  </si>
  <si>
    <t>SS-1010-3</t>
  </si>
  <si>
    <t>09166</t>
  </si>
  <si>
    <t>CONNECTOR COMP,ELBOW,5/8TX3/8 FNPT,SS</t>
  </si>
  <si>
    <t>SS-1010-8-6</t>
  </si>
  <si>
    <t>09168</t>
  </si>
  <si>
    <t>CONNECTOR, COMP, 5/8 T, SS</t>
  </si>
  <si>
    <t>SS-1010-9</t>
  </si>
  <si>
    <t>09425</t>
  </si>
  <si>
    <t>CONNECTOR, COMP, BULKHEAD,1/4T X 1/4 FPT</t>
  </si>
  <si>
    <t>4-4GH2BZ-B</t>
  </si>
  <si>
    <t>09500</t>
  </si>
  <si>
    <t>CONNECTOR, ELEC., W/6FT WIRE</t>
  </si>
  <si>
    <t>FLODRAULIC GROUP</t>
  </si>
  <si>
    <t>5J364-000-US0A</t>
  </si>
  <si>
    <t>FLOGR</t>
  </si>
  <si>
    <t>09611</t>
  </si>
  <si>
    <t>CONNECTOR, BRASS, N/P 3/8 X 1/8MPT</t>
  </si>
  <si>
    <t>NETHERLAND RUBBER CO.</t>
  </si>
  <si>
    <t>272-0602</t>
  </si>
  <si>
    <t>NETRU</t>
  </si>
  <si>
    <t>09615</t>
  </si>
  <si>
    <t>CONNECTOR, MALE, 1/8 X 1/8</t>
  </si>
  <si>
    <t>B200-1-2BTAY</t>
  </si>
  <si>
    <t>09625</t>
  </si>
  <si>
    <t>CONNECTOR, MALE, SWAG 3/16 X 1/8</t>
  </si>
  <si>
    <t>B-300-1-2BT-AY</t>
  </si>
  <si>
    <t>09640</t>
  </si>
  <si>
    <t>B400-1-2</t>
  </si>
  <si>
    <t>09641</t>
  </si>
  <si>
    <t>CONNECTOR, COMP, MALE 1/4T X 1/8NPT,BT</t>
  </si>
  <si>
    <t>B-400-1-2BTAY</t>
  </si>
  <si>
    <t>09645</t>
  </si>
  <si>
    <t>COMP, MALE 1/4T X 1/4MPT, BRASS FERRULE</t>
  </si>
  <si>
    <t>B400-1-4</t>
  </si>
  <si>
    <t>09646</t>
  </si>
  <si>
    <t>COMP,MALE 1/4T X 1/4MPT PLASTIC FERRULE</t>
  </si>
  <si>
    <t>B-400-1-4BTAY</t>
  </si>
  <si>
    <t>09650</t>
  </si>
  <si>
    <t>CONNECTOR, MALE, 1/4T X 3/8MPT</t>
  </si>
  <si>
    <t>B400-1-6</t>
  </si>
  <si>
    <t>09675</t>
  </si>
  <si>
    <t>CONNECTOR, PRESTOLOK 3/8T X 1/4MPT</t>
  </si>
  <si>
    <t>68PL-6-4</t>
  </si>
  <si>
    <t>09680</t>
  </si>
  <si>
    <t>CONNECTOR,MALE,SWAG 3/8 X3/8, HEMO/NOT</t>
  </si>
  <si>
    <t>B10MO-1-6-BTAY</t>
  </si>
  <si>
    <t>09R001</t>
  </si>
  <si>
    <t>RECEIVER, HFC-404A</t>
  </si>
  <si>
    <t>09R002</t>
  </si>
  <si>
    <t>RECEIVER, LIQUID, R-404A</t>
  </si>
  <si>
    <t>3387</t>
  </si>
  <si>
    <t>09R003</t>
  </si>
  <si>
    <t>OBSOLETE, RECEIVER, LIQUID, R-404A</t>
  </si>
  <si>
    <t>3391</t>
  </si>
  <si>
    <t>09R004</t>
  </si>
  <si>
    <t>RECEIVER, LIQUID</t>
  </si>
  <si>
    <t>RV-3865</t>
  </si>
  <si>
    <t>09R005</t>
  </si>
  <si>
    <t>RECEIVER, LIQUID 8 5/8 IN DIAMETER</t>
  </si>
  <si>
    <t>QRV-2085</t>
  </si>
  <si>
    <t>09R006</t>
  </si>
  <si>
    <t>LIQUID LEVEL INDICATOR, 8 5/8 IN DIAMETR</t>
  </si>
  <si>
    <t>LLI-8-5/8"</t>
  </si>
  <si>
    <t>09R007</t>
  </si>
  <si>
    <t>RECEIVER, LIQUID, 10-3/4 IN DIAMETER</t>
  </si>
  <si>
    <t>RV-60105</t>
  </si>
  <si>
    <t>09R008</t>
  </si>
  <si>
    <t>OBSOLETE, RECEIVER, LIQUID</t>
  </si>
  <si>
    <t>09R009</t>
  </si>
  <si>
    <t>RECEIVER, LIQUID, 10-3/4" DIA X 48" L</t>
  </si>
  <si>
    <t>RH-1048G</t>
  </si>
  <si>
    <t>09R009-4</t>
  </si>
  <si>
    <t>VALVE, RECEIVER INLET 7/8" ROTALOCK</t>
  </si>
  <si>
    <t>09R009-6</t>
  </si>
  <si>
    <t>VALVE, RECEIVER OUTLET 7/8" ROTALOCK</t>
  </si>
  <si>
    <t>09R009-79</t>
  </si>
  <si>
    <t>LIQUID LEVEL INDICATOR - 10-3/4" DIA</t>
  </si>
  <si>
    <t>LLG-10</t>
  </si>
  <si>
    <t>10001</t>
  </si>
  <si>
    <t>COUPLING,PIPE,BRASS 1/8 FPT</t>
  </si>
  <si>
    <t>P-103A-A</t>
  </si>
  <si>
    <t>10004</t>
  </si>
  <si>
    <t>COUPLING, PIPE,BRASS, 1/4</t>
  </si>
  <si>
    <t>P-103A-B</t>
  </si>
  <si>
    <t>10005</t>
  </si>
  <si>
    <t>UNION,PIPE,BRASS 1/4 X 1/8</t>
  </si>
  <si>
    <t>P-U1-4A</t>
  </si>
  <si>
    <t>10010</t>
  </si>
  <si>
    <t>UNION,PIPE,BRASS 1/4 X 1/4</t>
  </si>
  <si>
    <t>P-U1-4B</t>
  </si>
  <si>
    <t>10021</t>
  </si>
  <si>
    <t>ELBOW,COMP,MALE 3/8T X 1/8MPT</t>
  </si>
  <si>
    <t>P-969A-6A</t>
  </si>
  <si>
    <t>10022</t>
  </si>
  <si>
    <t>ELBOW,COMP,MALE 3/8T X 1/4MPT</t>
  </si>
  <si>
    <t>6LG10</t>
  </si>
  <si>
    <t>10045</t>
  </si>
  <si>
    <t>UNION,PIPE,BRASS 3/8 X 1/4</t>
  </si>
  <si>
    <t>U16B</t>
  </si>
  <si>
    <t>10075</t>
  </si>
  <si>
    <t>UNION,PIPE,BRASS 1/2 X 1/2</t>
  </si>
  <si>
    <t>408-88</t>
  </si>
  <si>
    <t>10122</t>
  </si>
  <si>
    <t>ELBOW,COMP,FEMALE 3/8T X 1/4FPT</t>
  </si>
  <si>
    <t>P-970A-6B</t>
  </si>
  <si>
    <t>10R001</t>
  </si>
  <si>
    <t>CONDENSER, CASCADE</t>
  </si>
  <si>
    <t>AE7M-36</t>
  </si>
  <si>
    <t>10R002</t>
  </si>
  <si>
    <t>CASCADE CONDENSER</t>
  </si>
  <si>
    <t>GBM757H-70-DXC</t>
  </si>
  <si>
    <t>10R003</t>
  </si>
  <si>
    <t>CONDENSER, CASCADE - 40 HP</t>
  </si>
  <si>
    <t>S182HD-104</t>
  </si>
  <si>
    <t>11000</t>
  </si>
  <si>
    <t>ELBOW,FEMALE,BRASS 1/4 X 1/4</t>
  </si>
  <si>
    <t>P-E4-44</t>
  </si>
  <si>
    <t>11215</t>
  </si>
  <si>
    <t>ELBOW, PIPE REG, BRASS, 90DEG 1/2</t>
  </si>
  <si>
    <t>P-100X-D</t>
  </si>
  <si>
    <t>11220</t>
  </si>
  <si>
    <t>ELBOW,PIPE,REG 90D BRASS 3/4</t>
  </si>
  <si>
    <t>P-100X-E</t>
  </si>
  <si>
    <t>11R001</t>
  </si>
  <si>
    <t>PUMP, SEALLESS, 7.54A, CLOSED COUPLED CE</t>
  </si>
  <si>
    <t>MAGNATEX PUMPS INC.</t>
  </si>
  <si>
    <t>MPL42LF-V40</t>
  </si>
  <si>
    <t>MAGPU</t>
  </si>
  <si>
    <t>11R002</t>
  </si>
  <si>
    <t>PUMP, CONDENSATE, 120V, 1/30 HP</t>
  </si>
  <si>
    <t>FRANKLIN ELECTRIC</t>
  </si>
  <si>
    <t>554200</t>
  </si>
  <si>
    <t>LITGI</t>
  </si>
  <si>
    <t>12001</t>
  </si>
  <si>
    <t>NIPPLE,PIPE,BRASS,CLOSE 1 IN NPT</t>
  </si>
  <si>
    <t>P-112RB-F</t>
  </si>
  <si>
    <t>12002</t>
  </si>
  <si>
    <t>NIPPLE,PIPE,BRASS,CLOSE 1/8 NPT</t>
  </si>
  <si>
    <t>P-112A-A</t>
  </si>
  <si>
    <t>12004</t>
  </si>
  <si>
    <t>NIPPLE,PIPE,BRASS 1/8 NPT X 1 1/2  LONG</t>
  </si>
  <si>
    <t>P-113A-A15</t>
  </si>
  <si>
    <t>12006</t>
  </si>
  <si>
    <t>ELBOW, SWIVEL, 1/4 IN MPT X 3/8 IN TUBE</t>
  </si>
  <si>
    <t>169PL-6-4</t>
  </si>
  <si>
    <t>12007</t>
  </si>
  <si>
    <t>ELBOW, SWIVEL, 1/8 NPT X 1/4 T</t>
  </si>
  <si>
    <t>169PL-4-2</t>
  </si>
  <si>
    <t>12008</t>
  </si>
  <si>
    <t>ELBOW, SWIVEL, 1/4 NPT X 1/4 T</t>
  </si>
  <si>
    <t>169PL-4-4</t>
  </si>
  <si>
    <t>12011</t>
  </si>
  <si>
    <t>NIPPLE,PIPE,BRASS 1 IN NPT X 3 IN LONG</t>
  </si>
  <si>
    <t>P-113RB-F3</t>
  </si>
  <si>
    <t>12050</t>
  </si>
  <si>
    <t>FITTING,REFLEX, 2 mm STRAIGHT 1/4  FL</t>
  </si>
  <si>
    <t>200-2006-31</t>
  </si>
  <si>
    <t>REFFL</t>
  </si>
  <si>
    <t>12051</t>
  </si>
  <si>
    <t>FITTING,REFLEX, 2 mm ELBOW 1/4  FL</t>
  </si>
  <si>
    <t>200-2006-33</t>
  </si>
  <si>
    <t>12052</t>
  </si>
  <si>
    <t>FITTING,REFLEX, 5 mm STRAIGHT 1/4 SAE FL</t>
  </si>
  <si>
    <t>200-2006-45</t>
  </si>
  <si>
    <t>12053</t>
  </si>
  <si>
    <t>FITTING,REFLEX, 5 mm ELBOW 1/4 SAE FL</t>
  </si>
  <si>
    <t>200-2006-46</t>
  </si>
  <si>
    <t>12054</t>
  </si>
  <si>
    <t>TUBING,CAPILLARY, 5.5 X 2 mm X 164FT</t>
  </si>
  <si>
    <t>200-2017-50</t>
  </si>
  <si>
    <t>12055</t>
  </si>
  <si>
    <t>TUBING,CAPILLARY, 8 X 5 mm X 82FT</t>
  </si>
  <si>
    <t>200-2016-48</t>
  </si>
  <si>
    <t>12200</t>
  </si>
  <si>
    <t>ELBOW,PIPE,STR BRASS 90D 1/8</t>
  </si>
  <si>
    <t>P-116A-A</t>
  </si>
  <si>
    <t>12202</t>
  </si>
  <si>
    <t>NIPPLE,PIPE,BRASS,CLOSE 1/4 NPT</t>
  </si>
  <si>
    <t>P-112A-B</t>
  </si>
  <si>
    <t>12205</t>
  </si>
  <si>
    <t>ELBOW, PIPE STR, BRASS, 90D, 1/4</t>
  </si>
  <si>
    <t>P-116A-B</t>
  </si>
  <si>
    <t>12206</t>
  </si>
  <si>
    <t>NIPPLE,PIPE,BRASS 1/4 NPT X 1 1/2 LONG</t>
  </si>
  <si>
    <t>P-113A-B15</t>
  </si>
  <si>
    <t>12210</t>
  </si>
  <si>
    <t>ELBOW,PIPE,STR BRASS 90D 3/8</t>
  </si>
  <si>
    <t>P-116A-C</t>
  </si>
  <si>
    <t>12211</t>
  </si>
  <si>
    <t>NIPPLE,PIPE,BRASS 1/4 IN NPT X 2 IN LONG</t>
  </si>
  <si>
    <t>P-113A-B2</t>
  </si>
  <si>
    <t>12225</t>
  </si>
  <si>
    <t>ELBOW,PIPE,STR BRASS 90D 1</t>
  </si>
  <si>
    <t>12401</t>
  </si>
  <si>
    <t>NIPPLE,PIPE,BRASS,CLOSE 1-1/2 IN NPT</t>
  </si>
  <si>
    <t>2024-001</t>
  </si>
  <si>
    <t>12440</t>
  </si>
  <si>
    <t>NIPPLE,PIPE,BRASS 3/8 IN NPT X 5 IN LONG</t>
  </si>
  <si>
    <t>P-113RB-C5</t>
  </si>
  <si>
    <t>12600</t>
  </si>
  <si>
    <t>NIPPLE,PIPE,BRASS CLOSE 1/2</t>
  </si>
  <si>
    <t>P-112A-D</t>
  </si>
  <si>
    <t>12630</t>
  </si>
  <si>
    <t>NIPPLE,PIPE,BRASS 1/2 IN NPT X 4 IN LONG</t>
  </si>
  <si>
    <t>P-113RB-D4</t>
  </si>
  <si>
    <t>12635</t>
  </si>
  <si>
    <t>NIPPLE,PIPE,BRASS 1/2 NPT X 4 1/2 LONG</t>
  </si>
  <si>
    <t>P-113RB-D45</t>
  </si>
  <si>
    <t>12800</t>
  </si>
  <si>
    <t>NIPPLE,PIPE,BRASS,CLOSE 3/4 IN NPT</t>
  </si>
  <si>
    <t>P-112A-E</t>
  </si>
  <si>
    <t>12R001</t>
  </si>
  <si>
    <t>OBS,MOTOR, 1/2HP, 1140RPM, 460V (COND FAN)</t>
  </si>
  <si>
    <t>2N880</t>
  </si>
  <si>
    <t>12R002</t>
  </si>
  <si>
    <t>FAN BLADE 20 INCH, 33 DEG PITCH, CW</t>
  </si>
  <si>
    <t>4C896</t>
  </si>
  <si>
    <t>12R003</t>
  </si>
  <si>
    <t>OBS, USE 05460, KITS, SERVICE VALVE</t>
  </si>
  <si>
    <t>998-5100-42</t>
  </si>
  <si>
    <t>12R004</t>
  </si>
  <si>
    <t>HEATER, CRANKCASE</t>
  </si>
  <si>
    <t>018-0043-07</t>
  </si>
  <si>
    <t>12R006</t>
  </si>
  <si>
    <t>VALVE, SOLENOID, 1 IN WATER</t>
  </si>
  <si>
    <t>8210G4</t>
  </si>
  <si>
    <t>12R007</t>
  </si>
  <si>
    <t>VALVE, BALL, 1/4 INCH</t>
  </si>
  <si>
    <t>6GD48</t>
  </si>
  <si>
    <t>12R008</t>
  </si>
  <si>
    <t>INDICATOR, LIQUID LEVEL FOR 10- 3/8 IN</t>
  </si>
  <si>
    <t>LLI</t>
  </si>
  <si>
    <t>12R009</t>
  </si>
  <si>
    <t>HEAT EXCHANGER, LIQUID/SUCTION</t>
  </si>
  <si>
    <t>HXR-75</t>
  </si>
  <si>
    <t>12R010</t>
  </si>
  <si>
    <t>OBS, COIL, SOLENOID, 208-240V/50-60HZ</t>
  </si>
  <si>
    <t>OMKC-1(208-240V/50-60HZ)</t>
  </si>
  <si>
    <t>12R011</t>
  </si>
  <si>
    <t>R-508B TEV</t>
  </si>
  <si>
    <t>PWE-8-GP</t>
  </si>
  <si>
    <t>12R012</t>
  </si>
  <si>
    <t>HEAD FAN MOUNTING KIT</t>
  </si>
  <si>
    <t>998-0574-13</t>
  </si>
  <si>
    <t>12R013</t>
  </si>
  <si>
    <t>HEATER-CRANKCASE, 115V, 200W (60/50HZ)</t>
  </si>
  <si>
    <t>918-0518-00</t>
  </si>
  <si>
    <t>12R014</t>
  </si>
  <si>
    <t>VALVE, CHECK, 1-3/8 ODS</t>
  </si>
  <si>
    <t>900MA-13S</t>
  </si>
  <si>
    <t>12R015</t>
  </si>
  <si>
    <t>CAP TUBE ASSEMBLY COMPRESSOR INJECTION</t>
  </si>
  <si>
    <t>998-1583-03</t>
  </si>
  <si>
    <t>12R016</t>
  </si>
  <si>
    <t>CONDENSER, WATER COOLED</t>
  </si>
  <si>
    <t>GB500H-60/6547</t>
  </si>
  <si>
    <t>12R017</t>
  </si>
  <si>
    <t>R-404A T.E.V.</t>
  </si>
  <si>
    <t>OSE-9-C</t>
  </si>
  <si>
    <t>12R018</t>
  </si>
  <si>
    <t>3837</t>
  </si>
  <si>
    <t>12R019</t>
  </si>
  <si>
    <t>SOLENOID VALVE, 3/4 INCH, CRYOGENIC</t>
  </si>
  <si>
    <t>MAGNATROL VALVE CORPORATION</t>
  </si>
  <si>
    <t>14L43Z</t>
  </si>
  <si>
    <t>MAGVA</t>
  </si>
  <si>
    <t>12R020</t>
  </si>
  <si>
    <t>OBS,SOLENOID VAL, 1/2, CRYOGENIC, 120VAC</t>
  </si>
  <si>
    <t>14L32Z</t>
  </si>
  <si>
    <t>12R021</t>
  </si>
  <si>
    <t>DISCHARGE DESUPERHEATER</t>
  </si>
  <si>
    <t>S182H-40</t>
  </si>
  <si>
    <t>12R022</t>
  </si>
  <si>
    <t>WP4-50</t>
  </si>
  <si>
    <t>12R023</t>
  </si>
  <si>
    <t>508B DISCHARGE DESUPERHEATER 27&amp;30 HP</t>
  </si>
  <si>
    <t>WP7L-34</t>
  </si>
  <si>
    <t>12R024</t>
  </si>
  <si>
    <t>VALVE, EEPR</t>
  </si>
  <si>
    <t>CDS-T-9-1 3/8" X 1 3/8" OD</t>
  </si>
  <si>
    <t>12R025</t>
  </si>
  <si>
    <t>ELECTRONIC CONTROL BOARD</t>
  </si>
  <si>
    <t>952660</t>
  </si>
  <si>
    <t>12R027</t>
  </si>
  <si>
    <t>VALVE, WATER REGULATOR, 2 IN MPT</t>
  </si>
  <si>
    <t>JOHNSON CONTROLS INC.</t>
  </si>
  <si>
    <t>V46AS-2C</t>
  </si>
  <si>
    <t>JOHCO</t>
  </si>
  <si>
    <t>12R028</t>
  </si>
  <si>
    <t>FLANGE KIT, 2 IN WATER VALVE</t>
  </si>
  <si>
    <t>KIT-14A-613</t>
  </si>
  <si>
    <t>12R029</t>
  </si>
  <si>
    <t>METER-FLOW,W/VALVE,RANGE 5-50 SCFM</t>
  </si>
  <si>
    <t>DWYER INSTRUMENTS</t>
  </si>
  <si>
    <t>VFC-122</t>
  </si>
  <si>
    <t>DWYER</t>
  </si>
  <si>
    <t>12R030</t>
  </si>
  <si>
    <t>VALVE, PACKED ANGLE, 1/4 ODF X 1/4  SAE</t>
  </si>
  <si>
    <t>617A-4S4</t>
  </si>
  <si>
    <t>12R031</t>
  </si>
  <si>
    <t>R-404A T.E.V. 5X7 ODF</t>
  </si>
  <si>
    <t>SSE-4-C</t>
  </si>
  <si>
    <t>12R032</t>
  </si>
  <si>
    <t>SSE-6-C</t>
  </si>
  <si>
    <t>12R033</t>
  </si>
  <si>
    <t>WATER REGULATING VALVE 1.25</t>
  </si>
  <si>
    <t>METREX VALVE CORP</t>
  </si>
  <si>
    <t>800PHR125(SE)</t>
  </si>
  <si>
    <t>METVA</t>
  </si>
  <si>
    <t>12R034</t>
  </si>
  <si>
    <t>SOLENOID VL ,W/ MKC-1 COIL,120V 50-60 HZ</t>
  </si>
  <si>
    <t>E6S130HP</t>
  </si>
  <si>
    <t>12R035</t>
  </si>
  <si>
    <t>SOLENOID VL, W/ MKC-2 COIL, 120V,50-60HZ</t>
  </si>
  <si>
    <t>E19S250HP</t>
  </si>
  <si>
    <t>12R036</t>
  </si>
  <si>
    <t>OBSOLETE, HOT GAS REGULATOR, R-410A</t>
  </si>
  <si>
    <t>HGBE-5</t>
  </si>
  <si>
    <t>12R037</t>
  </si>
  <si>
    <t>EVAPORATOR PRESSURE REGULATOR</t>
  </si>
  <si>
    <t>EPRB 20T9 ODF PILOT 1-1/8 ODF</t>
  </si>
  <si>
    <t>12R038</t>
  </si>
  <si>
    <t>WATER REGULATING VALVE,3/4 TEMP ACTUATED</t>
  </si>
  <si>
    <t>V47AC-6</t>
  </si>
  <si>
    <t>12R039</t>
  </si>
  <si>
    <t>REFRIGERANT SUBCOOLER, WATER</t>
  </si>
  <si>
    <t>WP1-10R (OA1,OA2)</t>
  </si>
  <si>
    <t>12R040</t>
  </si>
  <si>
    <t>OIL SEPARATOR</t>
  </si>
  <si>
    <t>S-5192</t>
  </si>
  <si>
    <t>12R041</t>
  </si>
  <si>
    <t>EXPENSE,POE, LOW TEMP OIL</t>
  </si>
  <si>
    <t>793-1031-34</t>
  </si>
  <si>
    <t>12R042</t>
  </si>
  <si>
    <t>AC&amp;R COMPNENTS</t>
  </si>
  <si>
    <t>S-5181</t>
  </si>
  <si>
    <t>ACRCO</t>
  </si>
  <si>
    <t>12R043</t>
  </si>
  <si>
    <t>OBS MOTOR, CONDENSER</t>
  </si>
  <si>
    <t>DIGI-KEY CORPORATION</t>
  </si>
  <si>
    <t>CR542-ND</t>
  </si>
  <si>
    <t>DIGKE</t>
  </si>
  <si>
    <t>12R044</t>
  </si>
  <si>
    <t>OBS FINGER GUARD, MOTOR</t>
  </si>
  <si>
    <t>CR223-ND</t>
  </si>
  <si>
    <t>12R045</t>
  </si>
  <si>
    <t>OBS,SILICONE FOR GAUGES (1 PINT)</t>
  </si>
  <si>
    <t>12R046</t>
  </si>
  <si>
    <t>HEATER, CRANKCASE, 120V, CORESENSE</t>
  </si>
  <si>
    <t>918-0028-00</t>
  </si>
  <si>
    <t>12R047</t>
  </si>
  <si>
    <t>OBS. NOZZLE, SPRAY, LN2, UBI-192</t>
  </si>
  <si>
    <t>1/2-GA-SS-25-80</t>
  </si>
  <si>
    <t>12R048</t>
  </si>
  <si>
    <t>BRACKET, HEAD FAN MOUNTING</t>
  </si>
  <si>
    <t>0705480-KIT</t>
  </si>
  <si>
    <t>12R049</t>
  </si>
  <si>
    <t>FILTER DRIER, 1 1/8" ODS</t>
  </si>
  <si>
    <t>C-609-S</t>
  </si>
  <si>
    <t>12R050</t>
  </si>
  <si>
    <t>LIQUID INDICATOR, 1-1/8" ODS</t>
  </si>
  <si>
    <t>SA-19S</t>
  </si>
  <si>
    <t>12R051</t>
  </si>
  <si>
    <t>HEAT EXCHANGER, LIQUID-SUCTION</t>
  </si>
  <si>
    <t>SLHE-50</t>
  </si>
  <si>
    <t>12R052</t>
  </si>
  <si>
    <t>REVERSE OSMOSIS WATER SYS TSM 200 INSTAL</t>
  </si>
  <si>
    <t>TOMAR WATER SYSTEMS, INC</t>
  </si>
  <si>
    <t>TSM-200 (104083)</t>
  </si>
  <si>
    <t>TOMWA</t>
  </si>
  <si>
    <t>12R053</t>
  </si>
  <si>
    <t>COIL, SOLENOID OMKC-2 24VDC JAK</t>
  </si>
  <si>
    <t>OMKC-2 24VDC</t>
  </si>
  <si>
    <t>12R054</t>
  </si>
  <si>
    <t>HEATER, CRANKCASE - 120V, 65W</t>
  </si>
  <si>
    <t>918-0009-00</t>
  </si>
  <si>
    <t>13005</t>
  </si>
  <si>
    <t>NIPPLE,HEX,BRASS 1/4 X 1/4</t>
  </si>
  <si>
    <t>5485K22</t>
  </si>
  <si>
    <t>13100</t>
  </si>
  <si>
    <t>NUT, BRASS,1/8 NPT</t>
  </si>
  <si>
    <t>P-111A-A</t>
  </si>
  <si>
    <t>13101</t>
  </si>
  <si>
    <t>LOCKNUT, BRASS, 1/4</t>
  </si>
  <si>
    <t>P-111A-B</t>
  </si>
  <si>
    <t>13200</t>
  </si>
  <si>
    <t>NIPPLE,HEX,REDUCING 1/4 X 1/8</t>
  </si>
  <si>
    <t>P-123A-BA</t>
  </si>
  <si>
    <t>13205</t>
  </si>
  <si>
    <t>NUT, SHORT, BRASS, 1/4</t>
  </si>
  <si>
    <t>P-NS4-4</t>
  </si>
  <si>
    <t>13211</t>
  </si>
  <si>
    <t>PLUG, FUSIBLE PIPE, 3/8 MALE</t>
  </si>
  <si>
    <t>SEALED UNIT PARTS COMPANY INC</t>
  </si>
  <si>
    <t>A14060</t>
  </si>
  <si>
    <t>SUPIN</t>
  </si>
  <si>
    <t>13213</t>
  </si>
  <si>
    <t>NIPPLE,HEX,REDUCING 3/8 X 1/4</t>
  </si>
  <si>
    <t>123-64</t>
  </si>
  <si>
    <t>13215</t>
  </si>
  <si>
    <t>NUT, SHORT, BRASS, 3/8</t>
  </si>
  <si>
    <t>P-NS4-6</t>
  </si>
  <si>
    <t>13220</t>
  </si>
  <si>
    <t>NUT,REDUCING,BRASS 1/2 X 3/8</t>
  </si>
  <si>
    <t>P-NSR4-86</t>
  </si>
  <si>
    <t>13221</t>
  </si>
  <si>
    <t>NUT, SHORT, BRASS, 1/2</t>
  </si>
  <si>
    <t>P-NS4-8</t>
  </si>
  <si>
    <t>13230</t>
  </si>
  <si>
    <t>REGULATOR, PRESSURE, 1/2 NPT, 2-125 PSI</t>
  </si>
  <si>
    <t>4ZM22</t>
  </si>
  <si>
    <t>13231</t>
  </si>
  <si>
    <t>GAUGE PRESSURE,  0-200 PSI</t>
  </si>
  <si>
    <t>4FMC8</t>
  </si>
  <si>
    <t>13232</t>
  </si>
  <si>
    <t>FLOWMETER,100-1000 SCFH,10IN SCALE</t>
  </si>
  <si>
    <t>RMC-106-SSV</t>
  </si>
  <si>
    <t>13250</t>
  </si>
  <si>
    <t>BODY, NOZZLE, SPRAY, 1/8 JEC BACK CONN</t>
  </si>
  <si>
    <t>CP4540-NP</t>
  </si>
  <si>
    <t>13252</t>
  </si>
  <si>
    <t>NOZZLE, SPRAY, 3/8", 6GPM @ 40 PSI</t>
  </si>
  <si>
    <t>3/8-HHSJ-60-30</t>
  </si>
  <si>
    <t>13254</t>
  </si>
  <si>
    <t>NOZZLE, SPRAY, 3/8, 8GPM @ 40 PSI</t>
  </si>
  <si>
    <t>3/8HHSJ-60-40</t>
  </si>
  <si>
    <t>13R001</t>
  </si>
  <si>
    <t>VALVE, LOCK-OUT, AIR SUPPLY</t>
  </si>
  <si>
    <t>T72E-2AA-P1N</t>
  </si>
  <si>
    <t>13R002</t>
  </si>
  <si>
    <t>OBSOLETE, SWITCH, LIMIT</t>
  </si>
  <si>
    <t>BC220/SK17.25/RT2/FM2 (2)24VAC</t>
  </si>
  <si>
    <t>13R003</t>
  </si>
  <si>
    <t>OBS VALVE, SOLENOID,  1/2  NPT, 120V</t>
  </si>
  <si>
    <t>13R004</t>
  </si>
  <si>
    <t>OBS. FILTER-DRIER, 1/2  NPT, 30 CFM</t>
  </si>
  <si>
    <t>4ZL50</t>
  </si>
  <si>
    <t>13R005</t>
  </si>
  <si>
    <t>OBS FILTER-COALESCING, 1/2 NPT, 30 CFM</t>
  </si>
  <si>
    <t>4ZL46</t>
  </si>
  <si>
    <t>13R006</t>
  </si>
  <si>
    <t>DRYER, REGENERATIVE AIR, 115VAC 10.0SCFM</t>
  </si>
  <si>
    <t>DE3-AC-K00-1E10</t>
  </si>
  <si>
    <t>13R007</t>
  </si>
  <si>
    <t>EXHAUST SILENCER / MIST ELIMINATOR, 1/2</t>
  </si>
  <si>
    <t>XMC-04-000</t>
  </si>
  <si>
    <t>13R008</t>
  </si>
  <si>
    <t>OBS REGULATOR, PRESSURE, 1/2  NPT,</t>
  </si>
  <si>
    <t>13R009</t>
  </si>
  <si>
    <t>OBS GAUGE, PRESSURE, 0-200 PSI</t>
  </si>
  <si>
    <t>13R010</t>
  </si>
  <si>
    <t>OBSFLOWMETER, 100-1000 SCFH, 10 IN SCALE</t>
  </si>
  <si>
    <t>13R011</t>
  </si>
  <si>
    <t>VALVE, SOLENOID, 115VAC</t>
  </si>
  <si>
    <t>E5SM-8202-33-H2-A120</t>
  </si>
  <si>
    <t>13R013</t>
  </si>
  <si>
    <t>SWITCH, LIMIT</t>
  </si>
  <si>
    <t>SWBC220CT2</t>
  </si>
  <si>
    <t>13R014</t>
  </si>
  <si>
    <t>VALVE, HEAD PRESSURE CONTROL - LESS STRAINER</t>
  </si>
  <si>
    <t>ORI-6-65/225-5/8</t>
  </si>
  <si>
    <t>13R015</t>
  </si>
  <si>
    <t>VALVE, HEAD PRESSURE CONTROL 5/8 ODF</t>
  </si>
  <si>
    <t>ORD-4-20</t>
  </si>
  <si>
    <t>13R016</t>
  </si>
  <si>
    <t>REGULATOR, PRESSRE, 0-250PSI, 1/2 IN NPT</t>
  </si>
  <si>
    <t>1Z885</t>
  </si>
  <si>
    <t>13R017</t>
  </si>
  <si>
    <t>GAUGE, PRESSURE, 0-200 PSI</t>
  </si>
  <si>
    <t>4X516</t>
  </si>
  <si>
    <t>13R019</t>
  </si>
  <si>
    <t>REGENERATIVE AIR DRYER, 30 SCFM</t>
  </si>
  <si>
    <t>KMT8</t>
  </si>
  <si>
    <t>13R020</t>
  </si>
  <si>
    <t>METER-FLOW, WITH VALVE, RANGE 3-30 SCFM</t>
  </si>
  <si>
    <t>RMC-123-SSV</t>
  </si>
  <si>
    <t>13R021</t>
  </si>
  <si>
    <t>REGENERATIVE AIR DRYER, 50 CFM</t>
  </si>
  <si>
    <t>ATLAS MACHINE &amp; SUPPLY, INC</t>
  </si>
  <si>
    <t>AHLD-50</t>
  </si>
  <si>
    <t>ATLMA</t>
  </si>
  <si>
    <t>13R022</t>
  </si>
  <si>
    <t>MANIFOLD, 9-PORT, 3/8" NPT</t>
  </si>
  <si>
    <t>LAKESIDE ENGINEERING</t>
  </si>
  <si>
    <t>LAKEN</t>
  </si>
  <si>
    <t>13R023</t>
  </si>
  <si>
    <t>MANIFOLD, 7-PORT, 3/8" NPT</t>
  </si>
  <si>
    <t>13R024</t>
  </si>
  <si>
    <t>MANIFOLD, 13-PORT, 3/8" NPT</t>
  </si>
  <si>
    <t>14501</t>
  </si>
  <si>
    <t>RETAINER RING, BRASS NICKLE PLT</t>
  </si>
  <si>
    <t>1158-NP</t>
  </si>
  <si>
    <t>14502</t>
  </si>
  <si>
    <t>RETAINING RING, EXTERNAL, SELF-LOCKING</t>
  </si>
  <si>
    <t>APPLIED INDUSTRIAL TECHNOLOGIES</t>
  </si>
  <si>
    <t>SHF-50ST</t>
  </si>
  <si>
    <t>BEAIN</t>
  </si>
  <si>
    <t>14R001</t>
  </si>
  <si>
    <t>FILTER/MUFFLER 3/8 IN NTP</t>
  </si>
  <si>
    <t>4440K123</t>
  </si>
  <si>
    <t>14R002</t>
  </si>
  <si>
    <t>FILTER/MUFFLER, 1/2 NPT</t>
  </si>
  <si>
    <t>4440K124</t>
  </si>
  <si>
    <t>14R003</t>
  </si>
  <si>
    <t>VALVE-CONTROL</t>
  </si>
  <si>
    <t>4F-V6LN-B</t>
  </si>
  <si>
    <t>14R004</t>
  </si>
  <si>
    <t>VALVE-BALL, DIVE</t>
  </si>
  <si>
    <t>8F-B8LJ-BP</t>
  </si>
  <si>
    <t>14R005</t>
  </si>
  <si>
    <t>VALVE-BALL, BLANK OFF</t>
  </si>
  <si>
    <t>12Z-B8LJ-BP</t>
  </si>
  <si>
    <t>14R006</t>
  </si>
  <si>
    <t>VALVE,SOLENOID,120 V</t>
  </si>
  <si>
    <t>8262H208Q</t>
  </si>
  <si>
    <t>14R007</t>
  </si>
  <si>
    <t>VALVE,SOLENOID, 3/4 NPT, 120/60</t>
  </si>
  <si>
    <t>8210G95</t>
  </si>
  <si>
    <t>14R008</t>
  </si>
  <si>
    <t>VALVE,SOLENOID, 3/8 NPT,120V/60HZ</t>
  </si>
  <si>
    <t>8210G73</t>
  </si>
  <si>
    <t>14R009</t>
  </si>
  <si>
    <t>VALVE,SOLENOID, N.O. 1/2 NPT, 120/60</t>
  </si>
  <si>
    <t>8210G34</t>
  </si>
  <si>
    <t>14R010</t>
  </si>
  <si>
    <t>48995K33 (1/4")</t>
  </si>
  <si>
    <t>14R011</t>
  </si>
  <si>
    <t>VALVE, RELIEF</t>
  </si>
  <si>
    <t>559B-4M-4</t>
  </si>
  <si>
    <t>14R012</t>
  </si>
  <si>
    <t>VALVE-METERING</t>
  </si>
  <si>
    <t>SS-31RF4</t>
  </si>
  <si>
    <t>14R013</t>
  </si>
  <si>
    <t>VALVE, SOLENOID, BLEED CONTROL</t>
  </si>
  <si>
    <t>8262G2 (1/8")</t>
  </si>
  <si>
    <t>14R014</t>
  </si>
  <si>
    <t>VALVE, BALL 1/2 IN NPT</t>
  </si>
  <si>
    <t>FISCHER PROCESS INDUSTRIES</t>
  </si>
  <si>
    <t>3TH316RT</t>
  </si>
  <si>
    <t>FISPU</t>
  </si>
  <si>
    <t>14R015</t>
  </si>
  <si>
    <t>GAUGE, 0-30 PSIG</t>
  </si>
  <si>
    <t>5WZ44</t>
  </si>
  <si>
    <t>14R016</t>
  </si>
  <si>
    <t>TAGS, FOR VALVES</t>
  </si>
  <si>
    <t>TRI-STATE ENGRAVING</t>
  </si>
  <si>
    <t>TRIEN</t>
  </si>
  <si>
    <t>14R017</t>
  </si>
  <si>
    <t>VALVE, SOLENOID, GN2, 115 VOLT</t>
  </si>
  <si>
    <t>8262G208 (1/4")</t>
  </si>
  <si>
    <t>14R018</t>
  </si>
  <si>
    <t>14R020</t>
  </si>
  <si>
    <t>FILTER, REGULATOR (1/4 IN)</t>
  </si>
  <si>
    <t>6B315</t>
  </si>
  <si>
    <t>14R021</t>
  </si>
  <si>
    <t>GAUGE, PRESSURE, 0-30 PSI</t>
  </si>
  <si>
    <t>4FLZ5</t>
  </si>
  <si>
    <t>14R022</t>
  </si>
  <si>
    <t>VALVE, SOLENOID, VACUUM CONTROL</t>
  </si>
  <si>
    <t>8215B60</t>
  </si>
  <si>
    <t>14R023</t>
  </si>
  <si>
    <t>TAGS FOR VALVES</t>
  </si>
  <si>
    <t>15006</t>
  </si>
  <si>
    <t>TEE,PIPE,BRASS 1/4X1/4X1/4</t>
  </si>
  <si>
    <t>2203P-4</t>
  </si>
  <si>
    <t>15009</t>
  </si>
  <si>
    <t>TEE, SWIVEL,PRESTLOK, 1/4X1/4X1/4</t>
  </si>
  <si>
    <t>171PL-4-4</t>
  </si>
  <si>
    <t>15012</t>
  </si>
  <si>
    <t>TEE, TUBE, S/S, 3/8X3/8X3/8 WELD</t>
  </si>
  <si>
    <t>3OFF-6</t>
  </si>
  <si>
    <t>TRUTU</t>
  </si>
  <si>
    <t>15015</t>
  </si>
  <si>
    <t>TEE,PIPE, BRASS, 1/2 X 1/2 X 1/2</t>
  </si>
  <si>
    <t>P-101X-D</t>
  </si>
  <si>
    <t>15020</t>
  </si>
  <si>
    <t>TEE,PIPE,BRASS 3/4X3/4X3/4</t>
  </si>
  <si>
    <t>P-101X-E</t>
  </si>
  <si>
    <t>15R001</t>
  </si>
  <si>
    <t>VALVE, BALL, 1/2 IN SOLDER 460V</t>
  </si>
  <si>
    <t>70-203 460V</t>
  </si>
  <si>
    <t>15R002</t>
  </si>
  <si>
    <t>SWITCH-FLOW, 1 1/4 NPT</t>
  </si>
  <si>
    <t>V6EPB-B-S-4-B</t>
  </si>
  <si>
    <t>15R003</t>
  </si>
  <si>
    <t>VALVE, BY-PASS RELIEF</t>
  </si>
  <si>
    <t>VB-6-EPR-WS</t>
  </si>
  <si>
    <t>15R004</t>
  </si>
  <si>
    <t>#N/A</t>
  </si>
  <si>
    <t>15R005</t>
  </si>
  <si>
    <t>VALVE, BALL, 1/2 IN SOLDER 230V</t>
  </si>
  <si>
    <t>70-203 230V</t>
  </si>
  <si>
    <t>15R009</t>
  </si>
  <si>
    <t>GLASS</t>
  </si>
  <si>
    <t>WINSTEL CONTROLS INC</t>
  </si>
  <si>
    <t>20-251</t>
  </si>
  <si>
    <t>ARASU</t>
  </si>
  <si>
    <t>15R010</t>
  </si>
  <si>
    <t>FILL CAP, 1 1/2 IN NPT (BRASS)</t>
  </si>
  <si>
    <t>15R011</t>
  </si>
  <si>
    <t>STRAINER, 1 1/2 NPT, Y-TYPE MUELLER</t>
  </si>
  <si>
    <t>351M-1.5-20</t>
  </si>
  <si>
    <t>15R012</t>
  </si>
  <si>
    <t>VALVE, BALL, 1 1/2 IN NPT</t>
  </si>
  <si>
    <t>6GD18</t>
  </si>
  <si>
    <t>15R013</t>
  </si>
  <si>
    <t>PRESSURE / VACUUM BREATHER, 3/8-18</t>
  </si>
  <si>
    <t>1U585</t>
  </si>
  <si>
    <t>15R014</t>
  </si>
  <si>
    <t>DYNALENE, HF-LO</t>
  </si>
  <si>
    <t>DYNHE</t>
  </si>
  <si>
    <t>15R015</t>
  </si>
  <si>
    <t>TAGS, SET OF</t>
  </si>
  <si>
    <t>15R016</t>
  </si>
  <si>
    <t>FLANGE, SUCTION 1 1/2 ANSI 150# RF, 304</t>
  </si>
  <si>
    <t>ROBERT-JAMES SALES, INC.</t>
  </si>
  <si>
    <t>02111432008-1</t>
  </si>
  <si>
    <t>ROBJA</t>
  </si>
  <si>
    <t>15R017</t>
  </si>
  <si>
    <t>FLANGE, DISCHARGE 1 ANSI 150# RF, 304</t>
  </si>
  <si>
    <t>02111432006-1</t>
  </si>
  <si>
    <t>15R018</t>
  </si>
  <si>
    <t>PIPE INSULATN - 8 IN S/S PIPE 1 IN THICK</t>
  </si>
  <si>
    <t>R.E. KRAMIG CO.</t>
  </si>
  <si>
    <t>REKRA</t>
  </si>
  <si>
    <t>15R019</t>
  </si>
  <si>
    <t>INSULATION,10 X 1 FGPC</t>
  </si>
  <si>
    <t>223</t>
  </si>
  <si>
    <t>15R020</t>
  </si>
  <si>
    <t>INSULATION,1X2X4 3# ASJ</t>
  </si>
  <si>
    <t>1110</t>
  </si>
  <si>
    <t>15R021</t>
  </si>
  <si>
    <t>INSULATION,2X2X4 3# ASJ</t>
  </si>
  <si>
    <t>1112</t>
  </si>
  <si>
    <t>15R022</t>
  </si>
  <si>
    <t>LOW TEMPERATURE, ASJ INSULATION BOARD</t>
  </si>
  <si>
    <t>15R023</t>
  </si>
  <si>
    <t>PLACARD, DATA TAG</t>
  </si>
  <si>
    <t>15R024</t>
  </si>
  <si>
    <t>OBSOLETE, FLW MTR,PLT TUBE,20-100 GPM</t>
  </si>
  <si>
    <t>HARRINGTON INDUSTRIAL PLASTICS LLC</t>
  </si>
  <si>
    <t>F-30150T</t>
  </si>
  <si>
    <t>CORFL</t>
  </si>
  <si>
    <t>15R025</t>
  </si>
  <si>
    <t>FLOWMETER, PILOT TUBE, INSERTION METER</t>
  </si>
  <si>
    <t>F-30100T</t>
  </si>
  <si>
    <t>16005</t>
  </si>
  <si>
    <t>UNION,FLARE,BRASS 1/4 X 1/4</t>
  </si>
  <si>
    <t>P-U2-4</t>
  </si>
  <si>
    <t>16020</t>
  </si>
  <si>
    <t>UNION,FLARE,BRASS 1/2 X 1/2</t>
  </si>
  <si>
    <t>P-U2-8</t>
  </si>
  <si>
    <t>16022</t>
  </si>
  <si>
    <t>UNION,PIPE,BRASS FULL 3/4D</t>
  </si>
  <si>
    <t>0</t>
  </si>
  <si>
    <t>16027</t>
  </si>
  <si>
    <t>UNION,PIPE,BRASS FULL 1</t>
  </si>
  <si>
    <t>P-104RB-F</t>
  </si>
  <si>
    <t>16030</t>
  </si>
  <si>
    <t>UNION,PIPE,BRASS FULL 1 1/4 INCH</t>
  </si>
  <si>
    <t>187-20</t>
  </si>
  <si>
    <t>16035</t>
  </si>
  <si>
    <t>UNION,PIPE,BRASS FULL 11/2 INCH</t>
  </si>
  <si>
    <t>187-24</t>
  </si>
  <si>
    <t>16036</t>
  </si>
  <si>
    <t>UNION, FULL, 2", BRASS</t>
  </si>
  <si>
    <t>4429K219</t>
  </si>
  <si>
    <t>16R001</t>
  </si>
  <si>
    <t>CONDENSER, HFC-404A</t>
  </si>
  <si>
    <t>16.00X47.00-4R-38/120</t>
  </si>
  <si>
    <t>16R002</t>
  </si>
  <si>
    <t>CONDENSING UNIT, R404A, 3/4HP, 208/230-1-60</t>
  </si>
  <si>
    <t>M4FF-0080-IAV-020</t>
  </si>
  <si>
    <t>16R002-1</t>
  </si>
  <si>
    <t>COMPRESSOR, 0.75 HP, HERMETIC, 208-230V, 1 PH, 60 HZ</t>
  </si>
  <si>
    <t>RST64C1E-IAV-108</t>
  </si>
  <si>
    <t>16R002-15</t>
  </si>
  <si>
    <t>VALVE, SUCTION SERVICE, 5/8" IDS ROTALOCK</t>
  </si>
  <si>
    <t>998-0511-00</t>
  </si>
  <si>
    <t>16R002-22</t>
  </si>
  <si>
    <t>RECEIVER, ASSEMBLY</t>
  </si>
  <si>
    <t>577-0431-01</t>
  </si>
  <si>
    <t>16R002-5</t>
  </si>
  <si>
    <t>066-0304-00</t>
  </si>
  <si>
    <t>16R002-6</t>
  </si>
  <si>
    <t>VALVE, RECEIVER LIQUID OUT, 3/8 IDS</t>
  </si>
  <si>
    <t>PART OF 577-0431-01</t>
  </si>
  <si>
    <t>16R002-95</t>
  </si>
  <si>
    <t>KIT, HP CONTROL</t>
  </si>
  <si>
    <t>985-7031-01</t>
  </si>
  <si>
    <t>16R002-96</t>
  </si>
  <si>
    <t>MOTOR, FAN KIT</t>
  </si>
  <si>
    <t>950-0344-00</t>
  </si>
  <si>
    <t>16R002-98</t>
  </si>
  <si>
    <t>TRANSDUCER, PRESSURE</t>
  </si>
  <si>
    <t>039-0026-02</t>
  </si>
  <si>
    <t>16R002-99</t>
  </si>
  <si>
    <t>KIT, PROTECTOR (EUC)</t>
  </si>
  <si>
    <t>971-0604-14</t>
  </si>
  <si>
    <t>16R003</t>
  </si>
  <si>
    <t>OBSOLETE, CONDENSING UNIT, R404A, 3/4HP, 220/240-1-50</t>
  </si>
  <si>
    <t>FJAF-A075-IAZ-320</t>
  </si>
  <si>
    <t>16R004</t>
  </si>
  <si>
    <t>CONDENSER, AIR COOL</t>
  </si>
  <si>
    <t>40.00X50.00-6R-38/144</t>
  </si>
  <si>
    <t>16R005</t>
  </si>
  <si>
    <t>R-404A CONDENSING UNIT 3/4HP 220/240-1-6</t>
  </si>
  <si>
    <t>FJAF-A075-IAV-001</t>
  </si>
  <si>
    <t>16R005-1</t>
  </si>
  <si>
    <t>COMPRESSOR, 0.75HP, HERMETIC, 208/230V, 1-PHASE</t>
  </si>
  <si>
    <t>RS64C2E-IAV-100</t>
  </si>
  <si>
    <t>16R005-96</t>
  </si>
  <si>
    <t>PART OF 16R005</t>
  </si>
  <si>
    <t>16R006</t>
  </si>
  <si>
    <t>OBS,CONDENSER, AIR COOLED</t>
  </si>
  <si>
    <t>32.00 X 28.00-5R-38/120</t>
  </si>
  <si>
    <t>16R007</t>
  </si>
  <si>
    <t>R-404A, CONDENSING UNIT, 2HP, 460/30/60</t>
  </si>
  <si>
    <t>FPWN-C150-TFD-020</t>
  </si>
  <si>
    <t>16R008</t>
  </si>
  <si>
    <t>CONDENSER, WATER COOLED, 30HP</t>
  </si>
  <si>
    <t>STC030XS-XXX</t>
  </si>
  <si>
    <t>16R009</t>
  </si>
  <si>
    <t>CONDENSER, R-508B</t>
  </si>
  <si>
    <t>16.00X31.00-3R-38/144</t>
  </si>
  <si>
    <t>17011</t>
  </si>
  <si>
    <t>COUPLING, REDUCING,1/4 X 1/8</t>
  </si>
  <si>
    <t>W 1005</t>
  </si>
  <si>
    <t>17012</t>
  </si>
  <si>
    <t>CAP, TUBE,1/2 OD</t>
  </si>
  <si>
    <t>W07006</t>
  </si>
  <si>
    <t>17014</t>
  </si>
  <si>
    <t>ADAPTER,PVC,SCH 40,MALE,2 INCHES</t>
  </si>
  <si>
    <t>FERGUSON ENTERPRISES</t>
  </si>
  <si>
    <t>C109K</t>
  </si>
  <si>
    <t>FEREN</t>
  </si>
  <si>
    <t>17015</t>
  </si>
  <si>
    <t>ADAPTER, FEMALE,SXFPT 5/8 X 1/2</t>
  </si>
  <si>
    <t>WALTER M. JOYCE CO.</t>
  </si>
  <si>
    <t>W01231</t>
  </si>
  <si>
    <t>WALJO</t>
  </si>
  <si>
    <t>17016</t>
  </si>
  <si>
    <t>CAP,TUBE,5/8</t>
  </si>
  <si>
    <t>W07007</t>
  </si>
  <si>
    <t>17022</t>
  </si>
  <si>
    <t>CAP,TUBE,3/4</t>
  </si>
  <si>
    <t>W07008</t>
  </si>
  <si>
    <t>17026</t>
  </si>
  <si>
    <t>COUPLING, REDUCING, 3/8 X 1/4</t>
  </si>
  <si>
    <t>W01011</t>
  </si>
  <si>
    <t>17027</t>
  </si>
  <si>
    <t>CAP,TUBE,7/8</t>
  </si>
  <si>
    <t>W07009</t>
  </si>
  <si>
    <t>17028</t>
  </si>
  <si>
    <t>ADAPTER,MALE,SXMPT 1 1/8 X 1 IN MPT</t>
  </si>
  <si>
    <t>W01163</t>
  </si>
  <si>
    <t>17030</t>
  </si>
  <si>
    <t>CAP,TUBE,1 1/8</t>
  </si>
  <si>
    <t>W07011</t>
  </si>
  <si>
    <t>17031</t>
  </si>
  <si>
    <t>ADAPTER,MALE,SXMPT 13/8X11/4MPT</t>
  </si>
  <si>
    <t>W01171</t>
  </si>
  <si>
    <t>17032</t>
  </si>
  <si>
    <t>COUPLING, REDUCING, 1/2 X 3/8</t>
  </si>
  <si>
    <t>W1019</t>
  </si>
  <si>
    <t>17036</t>
  </si>
  <si>
    <t>COUPLING,REDUCING, 1/2 X 1/4</t>
  </si>
  <si>
    <t>W01021</t>
  </si>
  <si>
    <t>17037</t>
  </si>
  <si>
    <t>CAP,TUBE,1 3/8</t>
  </si>
  <si>
    <t>W07012</t>
  </si>
  <si>
    <t>17041</t>
  </si>
  <si>
    <t>COUPLING, REDUCING, 5/8 X 1/2</t>
  </si>
  <si>
    <t>W01023</t>
  </si>
  <si>
    <t>17042</t>
  </si>
  <si>
    <t>CAP,TUBE,1 5/8</t>
  </si>
  <si>
    <t>W07013</t>
  </si>
  <si>
    <t>17045</t>
  </si>
  <si>
    <t>CAP,TUBE, 2 1/8</t>
  </si>
  <si>
    <t>W07014</t>
  </si>
  <si>
    <t>17046</t>
  </si>
  <si>
    <t>COUPLING, REDUCING, 5/8 X 3/8</t>
  </si>
  <si>
    <t>W01025</t>
  </si>
  <si>
    <t>17051</t>
  </si>
  <si>
    <t>COUPLING, REDUCING, 5/8 X 1/4</t>
  </si>
  <si>
    <t>W 01027</t>
  </si>
  <si>
    <t>17055</t>
  </si>
  <si>
    <t>CAP,TUBE,3 1/8</t>
  </si>
  <si>
    <t>W07016</t>
  </si>
  <si>
    <t>17056</t>
  </si>
  <si>
    <t>COUPLING,REDUCING,3/4 X 5/8</t>
  </si>
  <si>
    <t>W01029</t>
  </si>
  <si>
    <t>17060</t>
  </si>
  <si>
    <t>COUPLING, REDUCING, 3/4 X 1/2</t>
  </si>
  <si>
    <t>W01030</t>
  </si>
  <si>
    <t>17065</t>
  </si>
  <si>
    <t>COUPLING, REDUCING, 3/4 X 3/8</t>
  </si>
  <si>
    <t>W01031</t>
  </si>
  <si>
    <t>17070</t>
  </si>
  <si>
    <t>COUPLING,REDUCING,7/8 X 3/4</t>
  </si>
  <si>
    <t>W01035</t>
  </si>
  <si>
    <t>17075</t>
  </si>
  <si>
    <t>COUPLING, REDUCING, 7/8 X 5/8</t>
  </si>
  <si>
    <t>W01036</t>
  </si>
  <si>
    <t>17080</t>
  </si>
  <si>
    <t>COUPLING, REDUCING, 7/8 X 1/2</t>
  </si>
  <si>
    <t>W01037</t>
  </si>
  <si>
    <t>17095</t>
  </si>
  <si>
    <t>COUPLING, REDUCING,1 1/8 X 7/8</t>
  </si>
  <si>
    <t>W01049</t>
  </si>
  <si>
    <t>17098</t>
  </si>
  <si>
    <t>COUPLING, REDUCING, 2 5/8 X 1 1/8</t>
  </si>
  <si>
    <t>W01086</t>
  </si>
  <si>
    <t>17105</t>
  </si>
  <si>
    <t>COUPLING,REDUCING,11/8 X 5/8</t>
  </si>
  <si>
    <t>W01051</t>
  </si>
  <si>
    <t>17120</t>
  </si>
  <si>
    <t>COUPLING,REDUCING,1-3/8 X 7/8</t>
  </si>
  <si>
    <t>W01058</t>
  </si>
  <si>
    <t>17121</t>
  </si>
  <si>
    <t>COUPLING,REDUCING,11/8 X 1/2</t>
  </si>
  <si>
    <t>W01052</t>
  </si>
  <si>
    <t>17122</t>
  </si>
  <si>
    <t>COUPLING,REDUCING,13/8 X 11/8</t>
  </si>
  <si>
    <t>W01056</t>
  </si>
  <si>
    <t>17132</t>
  </si>
  <si>
    <t>TUBING, COPPER SET, GAUGE PANEL</t>
  </si>
  <si>
    <t>2501030</t>
  </si>
  <si>
    <t>17136</t>
  </si>
  <si>
    <t>COUPLING,REDUCING,15/8 X 13/8</t>
  </si>
  <si>
    <t>W01064</t>
  </si>
  <si>
    <t>17138</t>
  </si>
  <si>
    <t>OBS TUBING,COPPER SET,MICROCLIMATE</t>
  </si>
  <si>
    <t>17140</t>
  </si>
  <si>
    <t>COUPLING,REDUDING,15/8 X 11/8</t>
  </si>
  <si>
    <t>W1065</t>
  </si>
  <si>
    <t>17155</t>
  </si>
  <si>
    <t>COUPLING,REDUCING,21/8 X 15/8</t>
  </si>
  <si>
    <t>W01073</t>
  </si>
  <si>
    <t>17170</t>
  </si>
  <si>
    <t>STUB,COPPER TUBE,DBL FLARE, GAUGES</t>
  </si>
  <si>
    <t>2501834</t>
  </si>
  <si>
    <t>17172</t>
  </si>
  <si>
    <t>TUBING, KIT, 1.5-1 HP,  (UPPER)  N/A</t>
  </si>
  <si>
    <t>17173</t>
  </si>
  <si>
    <t>TUBING, KIT, 3.5 &amp; 6-SCT,    (UPPER)</t>
  </si>
  <si>
    <t>8751223</t>
  </si>
  <si>
    <t>17174</t>
  </si>
  <si>
    <t>TUBING, KIT, 3.5-3.5 &amp; 6-6 HP  (UPPER)</t>
  </si>
  <si>
    <t>8751232</t>
  </si>
  <si>
    <t>17175</t>
  </si>
  <si>
    <t>TUBING, KIT, 1.5HP,  (POWER PACK) N/A</t>
  </si>
  <si>
    <t>17176</t>
  </si>
  <si>
    <t>OBS,TUBING, KIT, 1.5-1HP   (POWER PACK)</t>
  </si>
  <si>
    <t>17177</t>
  </si>
  <si>
    <t>OBS,TUBING, KIT, 2-2HP,  (POWER PACK)</t>
  </si>
  <si>
    <t>17178</t>
  </si>
  <si>
    <t>OBS,TUBING, KIT, 2-SCT,(POWER PACK) N/A</t>
  </si>
  <si>
    <t>17179</t>
  </si>
  <si>
    <t>OBS TUBING, KIT, 3.5-SCT   (POWER PACK)</t>
  </si>
  <si>
    <t>17180</t>
  </si>
  <si>
    <t>TUBING, KIT, 3.5-3.5HP,(POWER PACK)</t>
  </si>
  <si>
    <t>17181</t>
  </si>
  <si>
    <t>OBS. TUBING, KIT, 6-SCT   (POWER PACK)</t>
  </si>
  <si>
    <t>17182</t>
  </si>
  <si>
    <t>OBS,TUBING, KIT, 6-6 HP,(POWER PACK) N/A</t>
  </si>
  <si>
    <t>17183</t>
  </si>
  <si>
    <t>OBS,TUBING, KIT,10-10 HP (POWER PACK)</t>
  </si>
  <si>
    <t>17184</t>
  </si>
  <si>
    <t>TUBING, KIT,15-15 HP (POWER PACK) N/A</t>
  </si>
  <si>
    <t>17185</t>
  </si>
  <si>
    <t>OBS,TUBING,KIT,HUMIDITY,(UPPER)</t>
  </si>
  <si>
    <t>17186</t>
  </si>
  <si>
    <t>TUBING, KIT, MC3 (UPPER) N/A</t>
  </si>
  <si>
    <t>17187</t>
  </si>
  <si>
    <t>OBS, TUBING,KIT,2-SCT,(UPPER)</t>
  </si>
  <si>
    <t>17188</t>
  </si>
  <si>
    <t>TUBING,KIT,2-2HP,(UPPER)</t>
  </si>
  <si>
    <t>17189</t>
  </si>
  <si>
    <t>TUBING, KIT,10-15 HP (UPPER) N/A</t>
  </si>
  <si>
    <t>17192</t>
  </si>
  <si>
    <t>OBS.,TUBING, KIT,10 HP (POWER PACK)</t>
  </si>
  <si>
    <t>17193</t>
  </si>
  <si>
    <t>OBS.,TUBING, KIT,15 HP (POWER PACK)</t>
  </si>
  <si>
    <t>17194</t>
  </si>
  <si>
    <t>OBS.,TUBING KIT, 3 HP, (POWER PACK)</t>
  </si>
  <si>
    <t>17195</t>
  </si>
  <si>
    <t>TUBING KIT, 3 HP, (UPPER)</t>
  </si>
  <si>
    <t>17196</t>
  </si>
  <si>
    <t>TUBING, KIT, COPPER, MCB-.33</t>
  </si>
  <si>
    <t>17197</t>
  </si>
  <si>
    <t>TUBING, KIT, COPPER, MCBH-.33</t>
  </si>
  <si>
    <t>17198</t>
  </si>
  <si>
    <t>TUBING, KIT, COPPER, MCB-.33-.33</t>
  </si>
  <si>
    <t>17199</t>
  </si>
  <si>
    <t>TUBING, KIT, COPPER, MCBH-.33-.33</t>
  </si>
  <si>
    <t>17280</t>
  </si>
  <si>
    <t>ADAPTER,MALE, 1 1/2 X 1 5/8 SWEAT</t>
  </si>
  <si>
    <t>W01179</t>
  </si>
  <si>
    <t>17290</t>
  </si>
  <si>
    <t>ADAPTER, 2 MPT X 2 1/8</t>
  </si>
  <si>
    <t>W01187</t>
  </si>
  <si>
    <t>17320</t>
  </si>
  <si>
    <t>COUPLING,ROLL STOP,3/8X3/8</t>
  </si>
  <si>
    <t>W01009</t>
  </si>
  <si>
    <t>17325</t>
  </si>
  <si>
    <t>COUPLING ROLL STOP 1/2 X 1/2</t>
  </si>
  <si>
    <t>W01017</t>
  </si>
  <si>
    <t>17330</t>
  </si>
  <si>
    <t>COUPLING, ROLL STOP, 5/8 X 5/8</t>
  </si>
  <si>
    <t>W01022</t>
  </si>
  <si>
    <t>17335</t>
  </si>
  <si>
    <t>COUPLING ROLL STOP 3/4 X 3/4</t>
  </si>
  <si>
    <t>W01028</t>
  </si>
  <si>
    <t>17340</t>
  </si>
  <si>
    <t>COUPLING ROLL STOP 7/8 X 7/8</t>
  </si>
  <si>
    <t>W01034</t>
  </si>
  <si>
    <t>17350</t>
  </si>
  <si>
    <t>COUPLING,ROLL STOP,1 1/8 X 1 1/8</t>
  </si>
  <si>
    <t>W01047</t>
  </si>
  <si>
    <t>17360</t>
  </si>
  <si>
    <t>COUPLING,ROLL STOP,1 3/8 X 1 3/8</t>
  </si>
  <si>
    <t>W01055</t>
  </si>
  <si>
    <t>17370</t>
  </si>
  <si>
    <t>COUPLING,ROLL STOP,1 5/8 X 1 5/8</t>
  </si>
  <si>
    <t>W01063</t>
  </si>
  <si>
    <t>17375</t>
  </si>
  <si>
    <t>COUPLING,ROLL STOP,2 1/8 X 2 1/8</t>
  </si>
  <si>
    <t>W01072</t>
  </si>
  <si>
    <t>17950</t>
  </si>
  <si>
    <t>ASSEMBLY, DISCHARGE, DESUPERHEATER</t>
  </si>
  <si>
    <t>875128</t>
  </si>
  <si>
    <t>17951</t>
  </si>
  <si>
    <t>DISCHARGE, DESUPERHEATER, 3HP</t>
  </si>
  <si>
    <t>875228</t>
  </si>
  <si>
    <t>17R001</t>
  </si>
  <si>
    <t>SUBCOOLER LIQUID, TUNDRA2, 16,20,25,30HP</t>
  </si>
  <si>
    <t>353002-04</t>
  </si>
  <si>
    <t>17R002</t>
  </si>
  <si>
    <t>SUBCOOLER LIQUID, TUNDRA 2, 5, 8, 12HP</t>
  </si>
  <si>
    <t>353002-03</t>
  </si>
  <si>
    <t>18000</t>
  </si>
  <si>
    <t>TUBE, STRAP, COPPER 1/4 IN 2 HOLE</t>
  </si>
  <si>
    <t>A1203</t>
  </si>
  <si>
    <t>18004</t>
  </si>
  <si>
    <t>HEADER, 2 HOLE, 7/8 IN HCT NO STEM</t>
  </si>
  <si>
    <t>875122</t>
  </si>
  <si>
    <t>18011</t>
  </si>
  <si>
    <t>TEE, SOLDER, END, 1/4 X 1/4 X 1/4</t>
  </si>
  <si>
    <t>W40306</t>
  </si>
  <si>
    <t>18020</t>
  </si>
  <si>
    <t>TEE,SOLDER END, 3/8 X 3/8 X 3/8</t>
  </si>
  <si>
    <t>W04000</t>
  </si>
  <si>
    <t>18025</t>
  </si>
  <si>
    <t>TUBE, STRAP, COPPER, 2 HOLE, 7/8,BIII</t>
  </si>
  <si>
    <t>A2574</t>
  </si>
  <si>
    <t>18026</t>
  </si>
  <si>
    <t>TEE,SOLDER, ENDS, 1/2 X 1/2 X 1/2</t>
  </si>
  <si>
    <t>W04001</t>
  </si>
  <si>
    <t>18031</t>
  </si>
  <si>
    <t>TEE,SOLDER ENDS, 5/8 X 5/8 X 5/8</t>
  </si>
  <si>
    <t>W04006</t>
  </si>
  <si>
    <t>18036</t>
  </si>
  <si>
    <t>TEE,SOLDER END 3/4X3/4X3/4</t>
  </si>
  <si>
    <t>W04017</t>
  </si>
  <si>
    <t>18041</t>
  </si>
  <si>
    <t>TEE,SOLDER END 7/8X7/8X7/8</t>
  </si>
  <si>
    <t>W04031</t>
  </si>
  <si>
    <t>18046</t>
  </si>
  <si>
    <t>TEE,SOLDER END 1 1/8 X 1 1/8 X 1 1/8</t>
  </si>
  <si>
    <t>W04048</t>
  </si>
  <si>
    <t>18050</t>
  </si>
  <si>
    <t>TEE, SOLDER END 1 3/8 X 1 3/8 X 1 3/8</t>
  </si>
  <si>
    <t>W04068</t>
  </si>
  <si>
    <t>18051</t>
  </si>
  <si>
    <t>TEE, SOLDER END, 1 3/8 X 1 3/8 X 7/8</t>
  </si>
  <si>
    <t>W04070</t>
  </si>
  <si>
    <t>18055</t>
  </si>
  <si>
    <t>TEE,SOLDER END 1 5/8 X 1 5/8 X 1 5/8</t>
  </si>
  <si>
    <t>W04084</t>
  </si>
  <si>
    <t>18096</t>
  </si>
  <si>
    <t>RETURN,BEND,7/8 OD 21/2 C/C</t>
  </si>
  <si>
    <t>RB78</t>
  </si>
  <si>
    <t>18106</t>
  </si>
  <si>
    <t>FITTING, REDUCER, F/S, 3/8 X 1/4</t>
  </si>
  <si>
    <t>W01306</t>
  </si>
  <si>
    <t>18110</t>
  </si>
  <si>
    <t>FITTING, REDUCER, F/S 1/2 X 3/8</t>
  </si>
  <si>
    <t>W01312</t>
  </si>
  <si>
    <t>18120</t>
  </si>
  <si>
    <t>ELBOW,45D,F/S  1/2 X 1/2</t>
  </si>
  <si>
    <t>W03321</t>
  </si>
  <si>
    <t>18121</t>
  </si>
  <si>
    <t>FITTING, REDUCER, F/S, 5/8 X 1/2</t>
  </si>
  <si>
    <t>W01315</t>
  </si>
  <si>
    <t>18125</t>
  </si>
  <si>
    <t>ELBOW,45D,F/S 5/8 X 5/8</t>
  </si>
  <si>
    <t>W03326</t>
  </si>
  <si>
    <t>18126</t>
  </si>
  <si>
    <t>FITTING, REDUCER, F/S 5/8 X 3/8</t>
  </si>
  <si>
    <t>W01317</t>
  </si>
  <si>
    <t>18131</t>
  </si>
  <si>
    <t>FITTING, REDUCER, F/S 3/4 X 5/8</t>
  </si>
  <si>
    <t>W01320</t>
  </si>
  <si>
    <t>18135</t>
  </si>
  <si>
    <t>ELBOW,45D,F/S 7/8 X 7/8</t>
  </si>
  <si>
    <t>W03334</t>
  </si>
  <si>
    <t>18140</t>
  </si>
  <si>
    <t>ELBOW,45D,F/S 1 1/8 X 1 1/8</t>
  </si>
  <si>
    <t>W03344</t>
  </si>
  <si>
    <t>18141</t>
  </si>
  <si>
    <t>FITTING, REDUCER, F/S 3/4 X 3/8</t>
  </si>
  <si>
    <t>W1322</t>
  </si>
  <si>
    <t>18145</t>
  </si>
  <si>
    <t>ELBOW,45D, F/S 1 3/8 X 1 3/8</t>
  </si>
  <si>
    <t>W03350</t>
  </si>
  <si>
    <t>18146</t>
  </si>
  <si>
    <t>FITTING, REDUCER, F/S 7/8 X 3/4</t>
  </si>
  <si>
    <t>W01325</t>
  </si>
  <si>
    <t>18151</t>
  </si>
  <si>
    <t>FITTING, REDUCER, F/S, 7/8 X 5/8</t>
  </si>
  <si>
    <t>W01326</t>
  </si>
  <si>
    <t>18155</t>
  </si>
  <si>
    <t>ELBOW,45D,F/S 2 1/8 X 2 1/8</t>
  </si>
  <si>
    <t>W03359</t>
  </si>
  <si>
    <t>18165</t>
  </si>
  <si>
    <t>FITTING, REDUCER, F/S 11/8 X 7/8</t>
  </si>
  <si>
    <t>W01337</t>
  </si>
  <si>
    <t>18170</t>
  </si>
  <si>
    <t>FITTING, REDUCER, F/S 11/8 X 3/4</t>
  </si>
  <si>
    <t>W01338</t>
  </si>
  <si>
    <t>18186</t>
  </si>
  <si>
    <t>FITTING, REDUCER, F/S 13/8X11/8</t>
  </si>
  <si>
    <t>W01343</t>
  </si>
  <si>
    <t>18190</t>
  </si>
  <si>
    <t>FITTING, REDUCER, F/S 13/8 X 7/8</t>
  </si>
  <si>
    <t>W01345</t>
  </si>
  <si>
    <t>18200</t>
  </si>
  <si>
    <t>FITTING, REDUCER, F/S 15/8X13/8</t>
  </si>
  <si>
    <t>W01350</t>
  </si>
  <si>
    <t>18220</t>
  </si>
  <si>
    <t>ELBOW,45D,SOL/SOL 1/2 X 1/2</t>
  </si>
  <si>
    <t>W03021</t>
  </si>
  <si>
    <t>18221</t>
  </si>
  <si>
    <t>REDUCER,SWEAT,21/8X 15/8</t>
  </si>
  <si>
    <t>W01358</t>
  </si>
  <si>
    <t>18226</t>
  </si>
  <si>
    <t>FITTING, REDUCER, F/S 21/8X13/8</t>
  </si>
  <si>
    <t>W01359</t>
  </si>
  <si>
    <t>18227</t>
  </si>
  <si>
    <t>1/2 X 3/8 REDUCING ELBOW</t>
  </si>
  <si>
    <t>W02019</t>
  </si>
  <si>
    <t>18235</t>
  </si>
  <si>
    <t>ELBOW,45D,SOL/SOL 7/8 X 7/8</t>
  </si>
  <si>
    <t>W03034</t>
  </si>
  <si>
    <t>18300</t>
  </si>
  <si>
    <t>TEE, REDUCING, 3/8 X 3/8 X 1/4,BIII</t>
  </si>
  <si>
    <t>W40324</t>
  </si>
  <si>
    <t>18355</t>
  </si>
  <si>
    <t>TEE,REDUCING, 1/2X1/2X3/8</t>
  </si>
  <si>
    <t>W04002</t>
  </si>
  <si>
    <t>18365</t>
  </si>
  <si>
    <t>TEE, REDUCING, 1/2 X 1/2 X 1/4</t>
  </si>
  <si>
    <t>W40350</t>
  </si>
  <si>
    <t>18380</t>
  </si>
  <si>
    <t>TEE, REDUCING, 1/2 X 3/8 X 1/2</t>
  </si>
  <si>
    <t>W04003</t>
  </si>
  <si>
    <t>18430</t>
  </si>
  <si>
    <t>TEE,REDUCING, 5/8X5/8X1/2</t>
  </si>
  <si>
    <t>W04007</t>
  </si>
  <si>
    <t>18435</t>
  </si>
  <si>
    <t>TEE,REDUCING, 5/8X5/8X3/8</t>
  </si>
  <si>
    <t>W4008</t>
  </si>
  <si>
    <t>18440</t>
  </si>
  <si>
    <t>TEE, REDUCING, 5/8 X 5/8 X 1/4</t>
  </si>
  <si>
    <t>W04014</t>
  </si>
  <si>
    <t>18470</t>
  </si>
  <si>
    <t>TEE,REDUCING, 5/8X3/8X3/8</t>
  </si>
  <si>
    <t>W04013</t>
  </si>
  <si>
    <t>18505</t>
  </si>
  <si>
    <t>ELBOW, 90D SOL/SOL, 3/8 X 3/8</t>
  </si>
  <si>
    <t>W02009</t>
  </si>
  <si>
    <t>18510</t>
  </si>
  <si>
    <t>ELBOW, 90D SOL/SOL, 1/2 X 1/2</t>
  </si>
  <si>
    <t>W02017</t>
  </si>
  <si>
    <t>18520</t>
  </si>
  <si>
    <t>ELBOW, 90D SOL/SOL, 5/8 X 5/8</t>
  </si>
  <si>
    <t>W02022</t>
  </si>
  <si>
    <t>18525</t>
  </si>
  <si>
    <t>ELBOW,90D,SOL/SOL 3/4 X 3/4</t>
  </si>
  <si>
    <t>W02028</t>
  </si>
  <si>
    <t>18530</t>
  </si>
  <si>
    <t>ELBOW,90D, 7/8 X 7/8</t>
  </si>
  <si>
    <t>W02034</t>
  </si>
  <si>
    <t>18551</t>
  </si>
  <si>
    <t>TEE,REDUCING, 7/8X7/8X5/8</t>
  </si>
  <si>
    <t>W04033</t>
  </si>
  <si>
    <t>18580</t>
  </si>
  <si>
    <t>TEE,REDUCING, 7/8X5/8X7/8</t>
  </si>
  <si>
    <t>W04041</t>
  </si>
  <si>
    <t>18590</t>
  </si>
  <si>
    <t>TEE,REDUCING, 7/8X5/8X5/8</t>
  </si>
  <si>
    <t>W4043</t>
  </si>
  <si>
    <t>18615</t>
  </si>
  <si>
    <t>TEE,REDUCING, 7/8X1/2X1/2</t>
  </si>
  <si>
    <t>39R757</t>
  </si>
  <si>
    <t>18625</t>
  </si>
  <si>
    <t>ELBOW, 90 DEG,LONG RAD., 1/2</t>
  </si>
  <si>
    <t>W02717</t>
  </si>
  <si>
    <t>18630</t>
  </si>
  <si>
    <t>ELBOW,90 DEG,LONG RAD. 5/8</t>
  </si>
  <si>
    <t>W02722</t>
  </si>
  <si>
    <t>18640</t>
  </si>
  <si>
    <t>ELBOW,90 DEG,LONG RAD. 7/8 ODS</t>
  </si>
  <si>
    <t>W02734</t>
  </si>
  <si>
    <t>18645</t>
  </si>
  <si>
    <t>ELBOW,90 DEG,LONG RAD.11/8 ODS</t>
  </si>
  <si>
    <t>W02747</t>
  </si>
  <si>
    <t>18646</t>
  </si>
  <si>
    <t>TEE,REDUCING, 11/8X11/8X5/8</t>
  </si>
  <si>
    <t>W04051</t>
  </si>
  <si>
    <t>18655</t>
  </si>
  <si>
    <t>ELBOW,90 DEG,LONG RAD.13/8ODS</t>
  </si>
  <si>
    <t>W02055</t>
  </si>
  <si>
    <t>18660</t>
  </si>
  <si>
    <t>ELBOW,90 DEG,LONG RAD.15/8 ODS</t>
  </si>
  <si>
    <t>W02063</t>
  </si>
  <si>
    <t>18665</t>
  </si>
  <si>
    <t>ELBOW,90 DEG,LONG RAD. 21/8ODS</t>
  </si>
  <si>
    <t>W02072</t>
  </si>
  <si>
    <t>18700</t>
  </si>
  <si>
    <t>ELBOW, 90D, SHORT/RAD, 1/4 X 1/4</t>
  </si>
  <si>
    <t>W02305</t>
  </si>
  <si>
    <t>18701</t>
  </si>
  <si>
    <t>TEE,REDUCING, 11/8X5/8X11/8</t>
  </si>
  <si>
    <t>W04061</t>
  </si>
  <si>
    <t>18705</t>
  </si>
  <si>
    <t>ELBOW, 90D, SHORT/RAD, 3/8 X 3/8</t>
  </si>
  <si>
    <t>W02312</t>
  </si>
  <si>
    <t>18710</t>
  </si>
  <si>
    <t>ELBOW, 90D, SHORT/RAD 1/2 X 1/2</t>
  </si>
  <si>
    <t>W02321</t>
  </si>
  <si>
    <t>18711</t>
  </si>
  <si>
    <t>TEE,REDUCING, 11/8X5/8X5/8</t>
  </si>
  <si>
    <t>W04063</t>
  </si>
  <si>
    <t>18715</t>
  </si>
  <si>
    <t>ELBOW, 90D, SHORT/RAD, 5/8 X 5/8</t>
  </si>
  <si>
    <t>W02326</t>
  </si>
  <si>
    <t>18720</t>
  </si>
  <si>
    <t>ELBOW,90D,SHORT/RAD 3/4 X 3/4</t>
  </si>
  <si>
    <t>W02330</t>
  </si>
  <si>
    <t>18721</t>
  </si>
  <si>
    <t>ELBOW,90 DEG, S/S, 3/4 IN OD</t>
  </si>
  <si>
    <t>90MF-12</t>
  </si>
  <si>
    <t>18722</t>
  </si>
  <si>
    <t>ELBOW, 1 1/2 IN S/S</t>
  </si>
  <si>
    <t>90MM-24</t>
  </si>
  <si>
    <t>18723</t>
  </si>
  <si>
    <t>ELBOW, 90 DEG, S/S, 3/8 INCH OD</t>
  </si>
  <si>
    <t>90MM-6</t>
  </si>
  <si>
    <t>18724</t>
  </si>
  <si>
    <t>ELBOW, MALE-FEMALE, 90, S/S, 3/8 O.D.</t>
  </si>
  <si>
    <t>90MF-6</t>
  </si>
  <si>
    <t>18725</t>
  </si>
  <si>
    <t>ELBOW,90 DEG,L/R, ST TO ST,7/8</t>
  </si>
  <si>
    <t>607-2-2LT 7/8</t>
  </si>
  <si>
    <t>18726</t>
  </si>
  <si>
    <t>ELBOW, 90D, SHORT/RAD, STREET,7/8 X 7/8</t>
  </si>
  <si>
    <t>W02334</t>
  </si>
  <si>
    <t>18730</t>
  </si>
  <si>
    <t>ELBOW,90 DEG,LONG RAD. STREET 11/8</t>
  </si>
  <si>
    <t>W02644</t>
  </si>
  <si>
    <t>18731</t>
  </si>
  <si>
    <t>ELBOW,90D,SHORT/RAD 11/8X11/8</t>
  </si>
  <si>
    <t>W02344</t>
  </si>
  <si>
    <t>18735</t>
  </si>
  <si>
    <t>ELBOW,90 DEG,LONG RAD. STREET 13/8</t>
  </si>
  <si>
    <t>W02650</t>
  </si>
  <si>
    <t>18736</t>
  </si>
  <si>
    <t>ELBOW,90D,SHORT/RAD 13/8 X13/8</t>
  </si>
  <si>
    <t>W2384</t>
  </si>
  <si>
    <t>18810</t>
  </si>
  <si>
    <t>ELBOW, 90 DEG 1/2 IN X 1/2 IN ODS STST</t>
  </si>
  <si>
    <t>W02621</t>
  </si>
  <si>
    <t>18812</t>
  </si>
  <si>
    <t>ELBOW,90 DEG,LONG RAD. 1/2 IN ODS</t>
  </si>
  <si>
    <t>W02817</t>
  </si>
  <si>
    <t>18815</t>
  </si>
  <si>
    <t>ELBOW,90 DEG,LONG RAD. 5/8 IN ODS</t>
  </si>
  <si>
    <t>W02822</t>
  </si>
  <si>
    <t>18816</t>
  </si>
  <si>
    <t>ELBOW, 5/8 STREET TO STREET</t>
  </si>
  <si>
    <t>W02626</t>
  </si>
  <si>
    <t>18826</t>
  </si>
  <si>
    <t>ELBOW,90 DEG,L/R STREET 7/8</t>
  </si>
  <si>
    <t>W02834</t>
  </si>
  <si>
    <t>18830</t>
  </si>
  <si>
    <t>ELBOW,90 DEG,L/R STREET 11/8</t>
  </si>
  <si>
    <t>W02847</t>
  </si>
  <si>
    <t>18835</t>
  </si>
  <si>
    <t>ELBOW,90 DEG,L/R STREET 13/8</t>
  </si>
  <si>
    <t>W02350</t>
  </si>
  <si>
    <t>18840</t>
  </si>
  <si>
    <t>ELBOW,90D,L/RAD STREET 15/8</t>
  </si>
  <si>
    <t>W02355</t>
  </si>
  <si>
    <t>18845</t>
  </si>
  <si>
    <t>ELBOW,90 DEG,L/R STREET 21/8</t>
  </si>
  <si>
    <t>W02359</t>
  </si>
  <si>
    <t>18R001</t>
  </si>
  <si>
    <t>DISCHARGE MUFFLER</t>
  </si>
  <si>
    <t>AM-25</t>
  </si>
  <si>
    <t>18R002</t>
  </si>
  <si>
    <t>AM-10</t>
  </si>
  <si>
    <t>19000</t>
  </si>
  <si>
    <t>TUBE,COPPER HARD ACR 3/8</t>
  </si>
  <si>
    <t>3/8ACR</t>
  </si>
  <si>
    <t>19005</t>
  </si>
  <si>
    <t>TUBE,COPPER HARD ACR 1/2</t>
  </si>
  <si>
    <t>1/2ACR</t>
  </si>
  <si>
    <t>19010</t>
  </si>
  <si>
    <t>TUBE,COPPER HARD ACR 5/8</t>
  </si>
  <si>
    <t>5/8ACR</t>
  </si>
  <si>
    <t>19015</t>
  </si>
  <si>
    <t>TUBE,COPPER HARD ACR 3/4</t>
  </si>
  <si>
    <t>3/4ACR</t>
  </si>
  <si>
    <t>19020</t>
  </si>
  <si>
    <t>TUBE,COPPER HARD ACR 7/8</t>
  </si>
  <si>
    <t>7/8ACR</t>
  </si>
  <si>
    <t>19025</t>
  </si>
  <si>
    <t>TUBE,COPPER HARD ACR 1 1/8</t>
  </si>
  <si>
    <t>11/8ACR</t>
  </si>
  <si>
    <t>19030</t>
  </si>
  <si>
    <t>TUBE,COPPER HARD ACR 1 3/8</t>
  </si>
  <si>
    <t>13/8ACR</t>
  </si>
  <si>
    <t>19035</t>
  </si>
  <si>
    <t>TUBE,COPPER HARD ACR 1 5/8</t>
  </si>
  <si>
    <t>15/8ACR</t>
  </si>
  <si>
    <t>19040</t>
  </si>
  <si>
    <t>TUBE,COPPER HARD, ACR, 2 1/8</t>
  </si>
  <si>
    <t>21/8ACR</t>
  </si>
  <si>
    <t>19045</t>
  </si>
  <si>
    <t>TUBE,COPPER HARD ACR 2 5/8</t>
  </si>
  <si>
    <t>25/8ACR</t>
  </si>
  <si>
    <t>19075</t>
  </si>
  <si>
    <t>TRANSFORMER MTG BRACKET, 10/15 HP</t>
  </si>
  <si>
    <t>DWG. 19075</t>
  </si>
  <si>
    <t>19099</t>
  </si>
  <si>
    <t>BRACKET, VAPOR TANK, ZP-6-6-WC</t>
  </si>
  <si>
    <t>DWG. 19099</t>
  </si>
  <si>
    <t>19111</t>
  </si>
  <si>
    <t>TUBE, CAPILLARY, 0.031</t>
  </si>
  <si>
    <t>BC31X100</t>
  </si>
  <si>
    <t>19120</t>
  </si>
  <si>
    <t>TUBE, CAPILLARY, 0.050</t>
  </si>
  <si>
    <t>BC50X100</t>
  </si>
  <si>
    <t>19123</t>
  </si>
  <si>
    <t>BRACKET, OIL SEPERATOR</t>
  </si>
  <si>
    <t>DWG. 19123</t>
  </si>
  <si>
    <t>19131</t>
  </si>
  <si>
    <t>BRACKET, MTG SOLENOID</t>
  </si>
  <si>
    <t>DWG. 19131</t>
  </si>
  <si>
    <t>19132</t>
  </si>
  <si>
    <t>BRACKET, MTG, FLOW METER</t>
  </si>
  <si>
    <t>DWG. 19132</t>
  </si>
  <si>
    <t>19135</t>
  </si>
  <si>
    <t>TUBE, CAPILLARY, 0.064</t>
  </si>
  <si>
    <t>BC64X100</t>
  </si>
  <si>
    <t>19143</t>
  </si>
  <si>
    <t>BRACKET, OIL SAFETY SWITCH</t>
  </si>
  <si>
    <t>998-0700-02</t>
  </si>
  <si>
    <t>19149</t>
  </si>
  <si>
    <t>BRACKET,MTG,RESERVOIR LID</t>
  </si>
  <si>
    <t>19149-B</t>
  </si>
  <si>
    <t>19150</t>
  </si>
  <si>
    <t>BRACKET,MTG.,FLOAT SWITCH</t>
  </si>
  <si>
    <t>19150-B</t>
  </si>
  <si>
    <t>19156</t>
  </si>
  <si>
    <t>BASE,MTG,VAPOR TANK,6HP,ZP</t>
  </si>
  <si>
    <t>DWG. 19156</t>
  </si>
  <si>
    <t>19157</t>
  </si>
  <si>
    <t>OBSOLETE, BRACKET, VAPOR TANK, ZP 3.5HP</t>
  </si>
  <si>
    <t>DWG. 19157</t>
  </si>
  <si>
    <t>19165</t>
  </si>
  <si>
    <t>BRACKET, RECIRCULATING WATER, ZP, EXTER</t>
  </si>
  <si>
    <t>19165-C</t>
  </si>
  <si>
    <t>19170</t>
  </si>
  <si>
    <t>BRACKET, MTG, CASCADE CONDENSER,</t>
  </si>
  <si>
    <t>DWG. 19170</t>
  </si>
  <si>
    <t>19171</t>
  </si>
  <si>
    <t>BRACKET, MOUNTING, VAPOR TANK, Z-PLUS</t>
  </si>
  <si>
    <t>DWG. 19171</t>
  </si>
  <si>
    <t>19174</t>
  </si>
  <si>
    <t>BRACKET, MOUNTING,6-6 WC COND.,Z PLUS</t>
  </si>
  <si>
    <t>DWG. 19174</t>
  </si>
  <si>
    <t>19177</t>
  </si>
  <si>
    <t>BRACKET, MTG; LINE SUPPORT, 6-6 PWR PACK</t>
  </si>
  <si>
    <t>DWG. 19177</t>
  </si>
  <si>
    <t>19178</t>
  </si>
  <si>
    <t>BRACKET, WATER REGULATOR VALVE</t>
  </si>
  <si>
    <t>DWG. 19178</t>
  </si>
  <si>
    <t>19180</t>
  </si>
  <si>
    <t>BRACKET,MTG,CASCADE COND.,10-15HP</t>
  </si>
  <si>
    <t>DWG. 19180</t>
  </si>
  <si>
    <t>19182</t>
  </si>
  <si>
    <t>BRACKET,MTG, CONDENSER,10, ZP-LINE</t>
  </si>
  <si>
    <t>DWG. 19182</t>
  </si>
  <si>
    <t>19183</t>
  </si>
  <si>
    <t>BRACKET, HOT GAS VALVE, 6HP</t>
  </si>
  <si>
    <t>DWG. 19183</t>
  </si>
  <si>
    <t>19184</t>
  </si>
  <si>
    <t>BRACKET,MTG,VAPOR TANK,10,ZP</t>
  </si>
  <si>
    <t>DWG. 19184</t>
  </si>
  <si>
    <t>19185</t>
  </si>
  <si>
    <t>BRACKET,REGULATOR VALVE</t>
  </si>
  <si>
    <t>DWG. 19185</t>
  </si>
  <si>
    <t>19186</t>
  </si>
  <si>
    <t>BRACKET,MTG,CONDENSER,15HP,ZP-LINE</t>
  </si>
  <si>
    <t>DWG. 19186</t>
  </si>
  <si>
    <t>19188</t>
  </si>
  <si>
    <t>BRACKET,MTG,VAPOR TANK,15HP,ZP-LINE</t>
  </si>
  <si>
    <t>DWG. 19188</t>
  </si>
  <si>
    <t>19196</t>
  </si>
  <si>
    <t>BRACKET, HEAD FAN, 20H HP COMP</t>
  </si>
  <si>
    <t>0705481-KIT</t>
  </si>
  <si>
    <t>19205</t>
  </si>
  <si>
    <t>TUBE, COPPER SOFT, 3/16</t>
  </si>
  <si>
    <t>3/16REFRIG</t>
  </si>
  <si>
    <t>19215</t>
  </si>
  <si>
    <t>TUBE, COPPER SOFT, 1/4</t>
  </si>
  <si>
    <t>1/4REFRIG</t>
  </si>
  <si>
    <t>19220</t>
  </si>
  <si>
    <t>TUBE,COPPER SOFT 5/16</t>
  </si>
  <si>
    <t>5/16REFRIG</t>
  </si>
  <si>
    <t>19225</t>
  </si>
  <si>
    <t>TUBE, COPPER SOFT, 3/8</t>
  </si>
  <si>
    <t>3/8REFRIG</t>
  </si>
  <si>
    <t>19230</t>
  </si>
  <si>
    <t>TUBE, COPPER, SOFT, 1/2</t>
  </si>
  <si>
    <t>1/2REFRIG</t>
  </si>
  <si>
    <t>19235</t>
  </si>
  <si>
    <t>TUBE, COPPER SOFT, 5/8</t>
  </si>
  <si>
    <t>5/8REFRIG</t>
  </si>
  <si>
    <t>19240</t>
  </si>
  <si>
    <t>TUBE, COPPER SOFT, 3/4</t>
  </si>
  <si>
    <t>3/4REFRIG</t>
  </si>
  <si>
    <t>19245</t>
  </si>
  <si>
    <t>OBSOLETE TUBE,COPPER SOFT  7/8</t>
  </si>
  <si>
    <t>7/8REFRIG</t>
  </si>
  <si>
    <t>19250</t>
  </si>
  <si>
    <t>BOILER BOX, 3KW, FLEXSTAR</t>
  </si>
  <si>
    <t>DWG. 19250</t>
  </si>
  <si>
    <t>19270</t>
  </si>
  <si>
    <t>BOILER BOX, 1KW</t>
  </si>
  <si>
    <t>DWG. 19270</t>
  </si>
  <si>
    <t>19272</t>
  </si>
  <si>
    <t>BOILER BOX,3KW</t>
  </si>
  <si>
    <t>DWG. 19272</t>
  </si>
  <si>
    <t>19272-10B</t>
  </si>
  <si>
    <t>DISPERSION TUBE</t>
  </si>
  <si>
    <t>19620</t>
  </si>
  <si>
    <t>BASE PAN, ST-24</t>
  </si>
  <si>
    <t>19626</t>
  </si>
  <si>
    <t>ZP-8 BASEPAN (GALV.)</t>
  </si>
  <si>
    <t>DWG. 19626</t>
  </si>
  <si>
    <t>19628</t>
  </si>
  <si>
    <t>BASEPAN, ZP, 2-2 HP</t>
  </si>
  <si>
    <t>DWG. 19628</t>
  </si>
  <si>
    <t>19631</t>
  </si>
  <si>
    <t>BASEPAN, ZP, 2 SCT</t>
  </si>
  <si>
    <t>DWG. 19631</t>
  </si>
  <si>
    <t>19633</t>
  </si>
  <si>
    <t>BASEPAN, ZP, 6-6 HP</t>
  </si>
  <si>
    <t>DWG. 19633</t>
  </si>
  <si>
    <t>19636</t>
  </si>
  <si>
    <t>BASE PAN, ZP-8, 3.5 SCT</t>
  </si>
  <si>
    <t>DWG. 19636</t>
  </si>
  <si>
    <t>19637</t>
  </si>
  <si>
    <t>BASEPAN, ZP, 6 SCT</t>
  </si>
  <si>
    <t>DWG. 19637</t>
  </si>
  <si>
    <t>19638</t>
  </si>
  <si>
    <t>BASE PAN, ZP-8, 3.5-3.5-SC/AC</t>
  </si>
  <si>
    <t>DWG. 19638</t>
  </si>
  <si>
    <t>19639</t>
  </si>
  <si>
    <t>BASE PAN, ZP8: 3.5-3.5-SC/WC ; 2-2-H/WC</t>
  </si>
  <si>
    <t>DWG. 19639</t>
  </si>
  <si>
    <t>19642</t>
  </si>
  <si>
    <t>BASE PAN,ZP, 10 &amp; 15 HP TUNDRA</t>
  </si>
  <si>
    <t>DWG. 19642</t>
  </si>
  <si>
    <t>19644</t>
  </si>
  <si>
    <t>OBSOLETE, BASE PAN,ZP, 10-10 HP</t>
  </si>
  <si>
    <t>DWG. 19644</t>
  </si>
  <si>
    <t>19646</t>
  </si>
  <si>
    <t>BASEPAN,ZP,15-15 HP</t>
  </si>
  <si>
    <t>DWG. 19646</t>
  </si>
  <si>
    <t>19648</t>
  </si>
  <si>
    <t>BASEPAN,ZP,6-6-SC/AC</t>
  </si>
  <si>
    <t>DWG. 19648</t>
  </si>
  <si>
    <t>19656</t>
  </si>
  <si>
    <t>BASE PAN, ZP-8, 6,6</t>
  </si>
  <si>
    <t>DWG. 19656</t>
  </si>
  <si>
    <t>19660</t>
  </si>
  <si>
    <t>BASE PAN, ZP-16, 10,10 HP</t>
  </si>
  <si>
    <t>DWG. 19660</t>
  </si>
  <si>
    <t>19R001</t>
  </si>
  <si>
    <t>GAUGE, PANEL MOUNT, 0-200 PSIG</t>
  </si>
  <si>
    <t>SAE-AFC-200-25RC-FF</t>
  </si>
  <si>
    <t>20R001</t>
  </si>
  <si>
    <t>HEATER, CRANKCASE, 140W, 110V</t>
  </si>
  <si>
    <t>892-1140-01</t>
  </si>
  <si>
    <t>20R002</t>
  </si>
  <si>
    <t>SPRING MOUNTING KIT, COMP 20, 25, 30 HP</t>
  </si>
  <si>
    <t>308001-61</t>
  </si>
  <si>
    <t>20R003</t>
  </si>
  <si>
    <t>SPRING MOUNTING KIT, COMPRESSOR 12HP</t>
  </si>
  <si>
    <t>308001-60</t>
  </si>
  <si>
    <t>21302</t>
  </si>
  <si>
    <t>PLATE, GAUGE, (2HOLE)</t>
  </si>
  <si>
    <t>DWG. 21302</t>
  </si>
  <si>
    <t>21303</t>
  </si>
  <si>
    <t>PANEL,GAUGE, (3 HOLE)</t>
  </si>
  <si>
    <t>21318</t>
  </si>
  <si>
    <t>PLATE, MOUNTING, GAUGE, ZP</t>
  </si>
  <si>
    <t>DWG. 21318</t>
  </si>
  <si>
    <t>21568</t>
  </si>
  <si>
    <t>PLATE,GRAVITY VENT</t>
  </si>
  <si>
    <t>ARSCO CUSTOM METALS LLC</t>
  </si>
  <si>
    <t>METFA</t>
  </si>
  <si>
    <t>21569</t>
  </si>
  <si>
    <t>DISK, GRAVITY VENT</t>
  </si>
  <si>
    <t>DWG. 21569</t>
  </si>
  <si>
    <t>21570</t>
  </si>
  <si>
    <t>GASKET, GRAVITY VENT</t>
  </si>
  <si>
    <t>21R001</t>
  </si>
  <si>
    <t>EPR VALVE 30-100 PSI, 7/8 IN CONNECTIONS</t>
  </si>
  <si>
    <t>ORIT-10-30/100-7/8 IN</t>
  </si>
  <si>
    <t>22015</t>
  </si>
  <si>
    <t>U-IRON, 2 X 3 X 3</t>
  </si>
  <si>
    <t>22030</t>
  </si>
  <si>
    <t>U IRON, 5 X6 1/2 X 6 1/2, 10 GA</t>
  </si>
  <si>
    <t>5 X 6.5 X 6.5</t>
  </si>
  <si>
    <t>22110</t>
  </si>
  <si>
    <t>SHROUD,6 HP CONDENSER,ZP-LINE</t>
  </si>
  <si>
    <t>DWG. 22110</t>
  </si>
  <si>
    <t>I:\Engineering\Refrigeration Development\PART ID NUMBERS\Specification Sheets\22110-A.pdf#I:\Engineering\Refrigeration Development\PART ID NUMBERS\Specification Sheets\22110-A.pdf#</t>
  </si>
  <si>
    <t>22119</t>
  </si>
  <si>
    <t>SHROUD, 3.5HP CONDENSER, ZP-LINE</t>
  </si>
  <si>
    <t>DWG. 22119</t>
  </si>
  <si>
    <t>23115</t>
  </si>
  <si>
    <t>COUPLING, FULL, S/S, 1/4</t>
  </si>
  <si>
    <t>MCJUNKIN CORP.</t>
  </si>
  <si>
    <t>MCJCO</t>
  </si>
  <si>
    <t>23155</t>
  </si>
  <si>
    <t>COUPLING, FULL, S/S, 1</t>
  </si>
  <si>
    <t>23994</t>
  </si>
  <si>
    <t>CLAMP, HANGER 2</t>
  </si>
  <si>
    <t>VICTOR SPECIALTIES</t>
  </si>
  <si>
    <t>14206-S WITH RIBS</t>
  </si>
  <si>
    <t>VICSP</t>
  </si>
  <si>
    <t>23997</t>
  </si>
  <si>
    <t>CLAMP, HANGER, 2-1/2</t>
  </si>
  <si>
    <t>14207-S WITH RIBS</t>
  </si>
  <si>
    <t>24007</t>
  </si>
  <si>
    <t>PAN, WET COIL, S/S, Z LINE, ZP-44-64</t>
  </si>
  <si>
    <t>DWG. 24007</t>
  </si>
  <si>
    <t>I:\Engineering\Refrigeration Development\PART ID NUMBERS\Specification Sheets\24007-E.pdf#I:\Engineering\Refrigeration Development\PART ID NUMBERS\Specification Sheets\24007-E.pdf#</t>
  </si>
  <si>
    <t>24008</t>
  </si>
  <si>
    <t>COVER, FROZEN COIL,30% PERF S/S, ZP-8-16-32</t>
  </si>
  <si>
    <t>DWG. 24008</t>
  </si>
  <si>
    <t>24012</t>
  </si>
  <si>
    <t>PAN, WET COIL, S/S, Z LINE</t>
  </si>
  <si>
    <t>DWG. 24012</t>
  </si>
  <si>
    <t>I:\Engineering\Refrigeration Development\PART ID NUMBERS\Specification Sheets\24012-J.pdf#I:\Engineering\Refrigeration Development\PART ID NUMBERS\Specification Sheets\24012-J.pdf#</t>
  </si>
  <si>
    <t>24015</t>
  </si>
  <si>
    <t>CLAMP, HANGER, 1-1/4 IN, BIII</t>
  </si>
  <si>
    <t>14205-S</t>
  </si>
  <si>
    <t>24054</t>
  </si>
  <si>
    <t>OBSOLETE, BASE, PAN, CT-32</t>
  </si>
  <si>
    <t>DWG. 24054</t>
  </si>
  <si>
    <t>24055</t>
  </si>
  <si>
    <t>CLAMP,HANGER 3</t>
  </si>
  <si>
    <t>14208-S</t>
  </si>
  <si>
    <t>24061</t>
  </si>
  <si>
    <t>MIN 8 3-1/2 STL COND HGR</t>
  </si>
  <si>
    <t>THE JOHNSON ELECTRIC SUPPLY COMPANY</t>
  </si>
  <si>
    <t>MIN 8 3-1/2</t>
  </si>
  <si>
    <t>JOHEL</t>
  </si>
  <si>
    <t>24093</t>
  </si>
  <si>
    <t>COMPRESSOR DRIP PAN,7.5HP SCROLL</t>
  </si>
  <si>
    <t>DWG. 24093</t>
  </si>
  <si>
    <t>24094</t>
  </si>
  <si>
    <t>OBS,COMPRESSOR DRIP PAN,7.5 HP-30 SEMI</t>
  </si>
  <si>
    <t>DWG. 24094</t>
  </si>
  <si>
    <t>24119</t>
  </si>
  <si>
    <t>DRIP PAN,COMPRESSOR,7.5-30 HP SEMI HERM</t>
  </si>
  <si>
    <t>DWG. 24119</t>
  </si>
  <si>
    <t>24145</t>
  </si>
  <si>
    <t>COVER, FROZEN COIL, 30% PERF S/S, ZP-44/64</t>
  </si>
  <si>
    <t>DWG. 24145</t>
  </si>
  <si>
    <t>24164</t>
  </si>
  <si>
    <t>FITTING, COMP,3/8 TUBE OD</t>
  </si>
  <si>
    <t>6-4-FH4BZ-SS</t>
  </si>
  <si>
    <t>24200</t>
  </si>
  <si>
    <t>FITTING, COMP S/S 1/4 TUBE OD</t>
  </si>
  <si>
    <t>4-4-FH4BZ-SS</t>
  </si>
  <si>
    <t>24245</t>
  </si>
  <si>
    <t>NIPPLE,STAINLESS,1/4 IN NPT X 5 IN LONG</t>
  </si>
  <si>
    <t>24392</t>
  </si>
  <si>
    <t>GASKET,4 IN X 3 IN ATOMIZER PLATE</t>
  </si>
  <si>
    <t>24607</t>
  </si>
  <si>
    <t>NIPPLE,STAINLESS,3/8IN NPT,X 3-1/2IN LG</t>
  </si>
  <si>
    <t>01080654340</t>
  </si>
  <si>
    <t>24609</t>
  </si>
  <si>
    <t>NIPPLE,STAINLESS,3/8IN NPT,X 5IN LG</t>
  </si>
  <si>
    <t>01080654343</t>
  </si>
  <si>
    <t>24610</t>
  </si>
  <si>
    <t>NIPPLE,STAINLSS,1/2 IN NPT X 1 1/2 IN L</t>
  </si>
  <si>
    <t>24611</t>
  </si>
  <si>
    <t>NIPPLE, PIPE, 1 IN NPT X 1 1/2 LONG</t>
  </si>
  <si>
    <t>46755K16</t>
  </si>
  <si>
    <t>24612</t>
  </si>
  <si>
    <t>NIPPLE,STAINLESS,1/2IN NPT X 1 1/2IN L</t>
  </si>
  <si>
    <t>46755K24</t>
  </si>
  <si>
    <t>24640</t>
  </si>
  <si>
    <t>NIPPLE,STAINLSS,1/2 IN NPT X 4 1/2 IN LG</t>
  </si>
  <si>
    <t>24645</t>
  </si>
  <si>
    <t>NIPPLE,STAINLESS,1/2 IN NPT X 5 IN LONG</t>
  </si>
  <si>
    <t>24650</t>
  </si>
  <si>
    <t>NIPPLE,STAINLESS,1/2 NPT X 5 1/2 IN LONG</t>
  </si>
  <si>
    <t>24655</t>
  </si>
  <si>
    <t>NIPPLE,STAINLESS,1/2 IN NPT X 6 IN LONG</t>
  </si>
  <si>
    <t>24660</t>
  </si>
  <si>
    <t>NIPPLE,STAINLESS, 2 IN NPT END 4 IN LONG</t>
  </si>
  <si>
    <t>9157K58</t>
  </si>
  <si>
    <t>24665</t>
  </si>
  <si>
    <t>NIPPLE,STAINLESS,1/2 IN NPT X 7 IN LONG</t>
  </si>
  <si>
    <t>24675</t>
  </si>
  <si>
    <t>NIPPLE,STAINLESS,1/2 IN NPT X 8 IN LONG</t>
  </si>
  <si>
    <t>4830K179</t>
  </si>
  <si>
    <t>24680</t>
  </si>
  <si>
    <t>NIPPLE,STAINLESS,1 - 1/4 NPT X 2IN LG</t>
  </si>
  <si>
    <t>01089000000</t>
  </si>
  <si>
    <t>24850</t>
  </si>
  <si>
    <t>NIPPLE,STAINLESS,3/4 IN NPT X 6 IN LONG</t>
  </si>
  <si>
    <t>24950</t>
  </si>
  <si>
    <t>NIPPLE, S/S, 1 IN X 5 IN LONG SCHD 80</t>
  </si>
  <si>
    <t>46755K66</t>
  </si>
  <si>
    <t>25031</t>
  </si>
  <si>
    <t>PLATE,3/4IN,CONNECTIONS,WATER COOLED</t>
  </si>
  <si>
    <t>DWG. 25031</t>
  </si>
  <si>
    <t>26220</t>
  </si>
  <si>
    <t>TUBE,S/S, 1/4 OD X .035, WALL</t>
  </si>
  <si>
    <t>26221</t>
  </si>
  <si>
    <t>TUBE, S/S, 1/8 OD X .028 WALL</t>
  </si>
  <si>
    <t>26260</t>
  </si>
  <si>
    <t>TUBE,S/S, 3/8OD X .035 WALL,TYPE 304</t>
  </si>
  <si>
    <t>CENTRAL STEEL &amp; WIRE CO.</t>
  </si>
  <si>
    <t>CENST</t>
  </si>
  <si>
    <t>26280</t>
  </si>
  <si>
    <t>TUBE,S/S,1/2OD X .049 WALL, TYPE 304</t>
  </si>
  <si>
    <t>26300</t>
  </si>
  <si>
    <t>TUBE, S/S, 5/8 OD X .035 WALL</t>
  </si>
  <si>
    <t>26302</t>
  </si>
  <si>
    <t>SWAGE,BALL,FITTING S/S 3/16</t>
  </si>
  <si>
    <t>3869T65</t>
  </si>
  <si>
    <t>26315</t>
  </si>
  <si>
    <t>TUBE,S/S,3/4OD X .065 WALL</t>
  </si>
  <si>
    <t>26330</t>
  </si>
  <si>
    <t>TUBE,S/S,7/8OD X .065 WALL 304</t>
  </si>
  <si>
    <t>26407</t>
  </si>
  <si>
    <t>PORT,4 INCH, 2 INCH LONG</t>
  </si>
  <si>
    <t>DWG. 26407</t>
  </si>
  <si>
    <t>26410</t>
  </si>
  <si>
    <t>TUBE,S/S,1 IN OD X .065 WALL</t>
  </si>
  <si>
    <t>26412</t>
  </si>
  <si>
    <t>TUBE,S/S,11/8 IN OD X .065 WALL 304</t>
  </si>
  <si>
    <t>26414</t>
  </si>
  <si>
    <t>TUBE,S/S 1 1/4 IN OD X .065 WALL 304</t>
  </si>
  <si>
    <t>26422</t>
  </si>
  <si>
    <t>TUBE, S/S, 1.0 IN OD X 1/4 IN WALL</t>
  </si>
  <si>
    <t>26423</t>
  </si>
  <si>
    <t>TUBE,S/S,1 3/8 IN OD X .065 WALL 304</t>
  </si>
  <si>
    <t>26430</t>
  </si>
  <si>
    <t>TUBE,S/S, 1 1/2 IN OD X .065 WALL 304</t>
  </si>
  <si>
    <t>26431</t>
  </si>
  <si>
    <t>PORT,S/S, 1 1/2 IN OD X 4 1/8</t>
  </si>
  <si>
    <t>DWG. 26431</t>
  </si>
  <si>
    <t>26445</t>
  </si>
  <si>
    <t>TUBE,S/S,1 3/4 IN OD X .065 WALL 304</t>
  </si>
  <si>
    <t>26455</t>
  </si>
  <si>
    <t>TUBE,S/S, 2 X .065</t>
  </si>
  <si>
    <t>26461</t>
  </si>
  <si>
    <t>TUBE,S/S,2 1/8 OD X.065 WALL 304</t>
  </si>
  <si>
    <t>26462</t>
  </si>
  <si>
    <t>TUBE,S/S,2 1/4 OD X .065 WALL 304</t>
  </si>
  <si>
    <t>26463</t>
  </si>
  <si>
    <t>26475</t>
  </si>
  <si>
    <t>TUBE,S/S,2 1/2 OD X .065 WALL 304</t>
  </si>
  <si>
    <t>26489</t>
  </si>
  <si>
    <t>TUBE,S/S,2 7/8 IN OD X .065 WALL 304</t>
  </si>
  <si>
    <t>26492</t>
  </si>
  <si>
    <t>TUBE,S/S, 3 IN OD X .065 WALL 304</t>
  </si>
  <si>
    <t>26516</t>
  </si>
  <si>
    <t>TUBE,S/S, 4 IN OD X .065 WALL 304</t>
  </si>
  <si>
    <t>26528</t>
  </si>
  <si>
    <t>TUBE, S/S, 5 IN OD X .065 WALL 304</t>
  </si>
  <si>
    <t>26529</t>
  </si>
  <si>
    <t>TUBE,S/S, 6 IN OD X .065 WALL 304</t>
  </si>
  <si>
    <t>28020</t>
  </si>
  <si>
    <t>BLOCK, 6-TERM STRIP DBL ROW</t>
  </si>
  <si>
    <t>NEWARK ELECTRONICS</t>
  </si>
  <si>
    <t>14F2633</t>
  </si>
  <si>
    <t>NEWEL</t>
  </si>
  <si>
    <t>28201</t>
  </si>
  <si>
    <t>ENCLOSURE, ELECTRICAL, 4X4X2</t>
  </si>
  <si>
    <t>E989NNJ CARLON</t>
  </si>
  <si>
    <t>28355</t>
  </si>
  <si>
    <t>BLOCK,2.5mm FEED THRU BLOCK, 24-12 AWG</t>
  </si>
  <si>
    <t>3031212</t>
  </si>
  <si>
    <t>28357</t>
  </si>
  <si>
    <t>BLOCK,2.5mm GROUND BLOCK, 24-12 AWG</t>
  </si>
  <si>
    <t>3031238</t>
  </si>
  <si>
    <t>28359</t>
  </si>
  <si>
    <t>BLOCK,2.5mm FEED THRU BLOCK END COVER</t>
  </si>
  <si>
    <t>3030417</t>
  </si>
  <si>
    <t>28371</t>
  </si>
  <si>
    <t>BLOCK,2.5mm 4-CON, 24-12</t>
  </si>
  <si>
    <t>3031306</t>
  </si>
  <si>
    <t>28372</t>
  </si>
  <si>
    <t>BLOCK,2.5mm 4-CON END STOP</t>
  </si>
  <si>
    <t>3022276</t>
  </si>
  <si>
    <t>28374</t>
  </si>
  <si>
    <t>BLOCK,2.5mm 4-CON END COVER</t>
  </si>
  <si>
    <t>3030514</t>
  </si>
  <si>
    <t>28376</t>
  </si>
  <si>
    <t>COVER, PHOENIX, OUTPUT MODULE</t>
  </si>
  <si>
    <t>2716949</t>
  </si>
  <si>
    <t>29721</t>
  </si>
  <si>
    <t>BLOCK, TERM, 4-POS, N.O.T./ECMO</t>
  </si>
  <si>
    <t>AVNET ELECTRONICS MARKETING</t>
  </si>
  <si>
    <t>38730-0104</t>
  </si>
  <si>
    <t>ELEMA</t>
  </si>
  <si>
    <t>29722</t>
  </si>
  <si>
    <t>EXP., CONNECTOR, 2-SIDED, 45DEG X .25</t>
  </si>
  <si>
    <t>29B7480</t>
  </si>
  <si>
    <t>29723</t>
  </si>
  <si>
    <t>EXP., CONNECTOR, 2-SIDED, 90DEG X .25</t>
  </si>
  <si>
    <t>02N5604</t>
  </si>
  <si>
    <t>30006</t>
  </si>
  <si>
    <t>APP CG1250S CBL CONN STL</t>
  </si>
  <si>
    <t>CG-1250S</t>
  </si>
  <si>
    <t>30013</t>
  </si>
  <si>
    <t>APP CG3150S STL STR CRD CONN</t>
  </si>
  <si>
    <t>CG-3150S</t>
  </si>
  <si>
    <t>32005</t>
  </si>
  <si>
    <t>LOCKNUT, CONDUIT, 1/2</t>
  </si>
  <si>
    <t>BL-50</t>
  </si>
  <si>
    <t>32222</t>
  </si>
  <si>
    <t>PLUG,  APPLIANCE, 4 POS., 4 FT.</t>
  </si>
  <si>
    <t>EMF CORPORATION</t>
  </si>
  <si>
    <t>EMFCO</t>
  </si>
  <si>
    <t>35051</t>
  </si>
  <si>
    <t>CAPACITOR,CONDENSER MOTOR</t>
  </si>
  <si>
    <t>A376</t>
  </si>
  <si>
    <t>GESUP</t>
  </si>
  <si>
    <t>35054</t>
  </si>
  <si>
    <t>CAPACITOR, 5MFD, 370V</t>
  </si>
  <si>
    <t>70102951</t>
  </si>
  <si>
    <t>35147</t>
  </si>
  <si>
    <t>CAPACITOR,START,COMPRESSOR,2HP,50HZ</t>
  </si>
  <si>
    <t>014-0006-13</t>
  </si>
  <si>
    <t>35150</t>
  </si>
  <si>
    <t>CAPACITOR,RUN,COMPRESSOR,2HP,50HZ</t>
  </si>
  <si>
    <t>014-0064-26</t>
  </si>
  <si>
    <t>36001</t>
  </si>
  <si>
    <t>COIL, SOLENOID, MKC1</t>
  </si>
  <si>
    <t>MKC-119 120/60 JAK</t>
  </si>
  <si>
    <t>36004</t>
  </si>
  <si>
    <t>COIL, SOLENOID, MKC2</t>
  </si>
  <si>
    <t>MKC-219 120/60 JAK</t>
  </si>
  <si>
    <t>36034</t>
  </si>
  <si>
    <t>COIL, SOLENOID,OMKC-1, RAPID CYCLE</t>
  </si>
  <si>
    <t>OMKC-1 120/50-60 JAM</t>
  </si>
  <si>
    <t>36038</t>
  </si>
  <si>
    <t>COIL, SOLENOID,OMKC-2, RAPID CYCLE</t>
  </si>
  <si>
    <t>OMKC-2 120/50-60 JAM</t>
  </si>
  <si>
    <t>36064</t>
  </si>
  <si>
    <t>RELAY, PLUGGABLE, SOLID STATE, 24VDC</t>
  </si>
  <si>
    <t>2967950</t>
  </si>
  <si>
    <t>36066</t>
  </si>
  <si>
    <t>OPTOCOUPLER INPUT MODULE, 120 VAC/24VDC</t>
  </si>
  <si>
    <t>2967552</t>
  </si>
  <si>
    <t>36067</t>
  </si>
  <si>
    <t>RELAY, SPDT, 24VDC</t>
  </si>
  <si>
    <t>2966472</t>
  </si>
  <si>
    <t>36074</t>
  </si>
  <si>
    <t>COIL, SOLENOID, 208-240V/50-60HZ</t>
  </si>
  <si>
    <t>OMKC-1,208-240V-50HZ 60HZ</t>
  </si>
  <si>
    <t>36077</t>
  </si>
  <si>
    <t>CONTACTOR, 25A</t>
  </si>
  <si>
    <t>XTCEC02510A</t>
  </si>
  <si>
    <t>36078</t>
  </si>
  <si>
    <t>CONTACTOR, 32A</t>
  </si>
  <si>
    <t>XTCEC032C10A</t>
  </si>
  <si>
    <t>36660</t>
  </si>
  <si>
    <t>THERMOCOUPLE,TYPE T PROBE</t>
  </si>
  <si>
    <t>FUTURE DESIGN CONTROLS INC</t>
  </si>
  <si>
    <t>TP31UZ-006-00-T4336-2(Z153)</t>
  </si>
  <si>
    <t>FINCO</t>
  </si>
  <si>
    <t>37001</t>
  </si>
  <si>
    <t>SWITCH, PRESSURE, DUAL HI/LOW</t>
  </si>
  <si>
    <t>060-205966</t>
  </si>
  <si>
    <t>37021</t>
  </si>
  <si>
    <t>ASSY,RUN/START, 2 HP COPELAND(REV)</t>
  </si>
  <si>
    <t>514-1232-04</t>
  </si>
  <si>
    <t>37048</t>
  </si>
  <si>
    <t>HEATER, 800W, 115V</t>
  </si>
  <si>
    <t>BACKER EHP INC</t>
  </si>
  <si>
    <t>SCQ-14316</t>
  </si>
  <si>
    <t>EMEAP</t>
  </si>
  <si>
    <t>37124</t>
  </si>
  <si>
    <t>SWITCH, PRESSURE, HIGH</t>
  </si>
  <si>
    <t>060-205366</t>
  </si>
  <si>
    <t>37126</t>
  </si>
  <si>
    <t>SWITCH, PRESSURE, HIGH, FIXED,</t>
  </si>
  <si>
    <t>PS-HP350-250</t>
  </si>
  <si>
    <t>37128</t>
  </si>
  <si>
    <t>SWITCH, PRESSURE, HIGH FIXED, 400PSIG</t>
  </si>
  <si>
    <t>PS-HP400-300</t>
  </si>
  <si>
    <t>I:\Engineering\Refrigeration Development\PART ID NUMBERS\Specification Sheets\37128-B.pdf#I:\Engineering\Refrigeration Development\PART ID NUMBERS\Specification Sheets\37128-B.pdf#</t>
  </si>
  <si>
    <t>37135</t>
  </si>
  <si>
    <t>SWITCH,PRESSURE,HIGH FIXED,350 PSIG</t>
  </si>
  <si>
    <t>P100DA-35C</t>
  </si>
  <si>
    <t>I:\Engineering\Refrigeration Development\PART ID NUMBERS\Specification Sheets\37135-A.pdf#I:\Engineering\Refrigeration Development\PART ID NUMBERS\Specification Sheets\37135-A.pdf#</t>
  </si>
  <si>
    <t>37190</t>
  </si>
  <si>
    <t>HEATER, CRANKCASE 100W 120V</t>
  </si>
  <si>
    <t>518-0028-06</t>
  </si>
  <si>
    <t>37191</t>
  </si>
  <si>
    <t>HEATER, CRANKCASE, 90W, ZF</t>
  </si>
  <si>
    <t>018-0091-21</t>
  </si>
  <si>
    <t>37194</t>
  </si>
  <si>
    <t>HEATER, CRANKCASE, SCROLL</t>
  </si>
  <si>
    <t>018-0095-07</t>
  </si>
  <si>
    <t>37196</t>
  </si>
  <si>
    <t>HEATER,CRANKCASE,SCROLL,7.5-15HP</t>
  </si>
  <si>
    <t>018-0091-17</t>
  </si>
  <si>
    <t>37212</t>
  </si>
  <si>
    <t>SWITCH, PRESSURE, OIL, 120SEC</t>
  </si>
  <si>
    <t>060B2053</t>
  </si>
  <si>
    <t>37213</t>
  </si>
  <si>
    <t>OBSOLETE, SWITCH, PRESSURE, OIL, 60SEC</t>
  </si>
  <si>
    <t>60B2051</t>
  </si>
  <si>
    <t>37220</t>
  </si>
  <si>
    <t>SWITCH, LOW PRESSURE, OIL</t>
  </si>
  <si>
    <t>347319-03</t>
  </si>
  <si>
    <t>37300</t>
  </si>
  <si>
    <t>HEATER, NEOPHRENE,15 IN 75W 120V</t>
  </si>
  <si>
    <t>WATLOW ELECTRIC MFG. CO.</t>
  </si>
  <si>
    <t>010150C1</t>
  </si>
  <si>
    <t>WATEL</t>
  </si>
  <si>
    <t>37408</t>
  </si>
  <si>
    <t>HEATER, IMMERSION,1000W AT 230V</t>
  </si>
  <si>
    <t>PL08A050U</t>
  </si>
  <si>
    <t>37410</t>
  </si>
  <si>
    <t>HEATER, IMMERSION,1000W AT 460V</t>
  </si>
  <si>
    <t>PL08A201</t>
  </si>
  <si>
    <t>37413</t>
  </si>
  <si>
    <t>HEATER, 3KW, 240V, IMMERSION, LG BOILER</t>
  </si>
  <si>
    <t>37414</t>
  </si>
  <si>
    <t>HEATER, 3KW, 460V, IMMERSION, LG BOILER</t>
  </si>
  <si>
    <t>37449</t>
  </si>
  <si>
    <t>HEATER, 2KW,480V,FIREROD</t>
  </si>
  <si>
    <t>N8AX98B</t>
  </si>
  <si>
    <t>37491</t>
  </si>
  <si>
    <t>IMMERSION HEATER, 3000 W @ 460V</t>
  </si>
  <si>
    <t>L9E-11255</t>
  </si>
  <si>
    <t>39057</t>
  </si>
  <si>
    <t>TEMP SENSOR,  DISCHARGE, ZP</t>
  </si>
  <si>
    <t>347023-03</t>
  </si>
  <si>
    <t>40211</t>
  </si>
  <si>
    <t>RELAY, SSR, 30A, 90-140V CONTROL</t>
  </si>
  <si>
    <t>HUGHES-PETERS, INC.</t>
  </si>
  <si>
    <t>CKRB4830</t>
  </si>
  <si>
    <t>HUGPE</t>
  </si>
  <si>
    <t>40220</t>
  </si>
  <si>
    <t>RELAY, 110 VAC DPDT, 10A/250V W/BASE</t>
  </si>
  <si>
    <t>2834708</t>
  </si>
  <si>
    <t>40221</t>
  </si>
  <si>
    <t>RELAY, 24VDC DPDT, 10A/250V W/BASE</t>
  </si>
  <si>
    <t>2834685</t>
  </si>
  <si>
    <t>40306</t>
  </si>
  <si>
    <t>SWITCH, LIQUID,LEVEL PENN</t>
  </si>
  <si>
    <t>F59A-1 W/WEIGHT KIT</t>
  </si>
  <si>
    <t>40309</t>
  </si>
  <si>
    <t>SWITCH, MULTI-LEVEL</t>
  </si>
  <si>
    <t>GEMS SENSORS INC</t>
  </si>
  <si>
    <t>191334</t>
  </si>
  <si>
    <t>GEMSE</t>
  </si>
  <si>
    <t>40312</t>
  </si>
  <si>
    <t>FLOAT, SWITCH, ANGLED, S/S</t>
  </si>
  <si>
    <t>117716</t>
  </si>
  <si>
    <t>40329</t>
  </si>
  <si>
    <t>SENSOR, HUMIDITY, PLASTIC PROBE, 0-5V</t>
  </si>
  <si>
    <t>VAISALA  INC</t>
  </si>
  <si>
    <t>HMM10083A1C0</t>
  </si>
  <si>
    <t>VAIIN</t>
  </si>
  <si>
    <t>40980</t>
  </si>
  <si>
    <t>THERMOSTAT, SPST,30 TO 11 0F</t>
  </si>
  <si>
    <t>A19AAB-4C</t>
  </si>
  <si>
    <t>40981</t>
  </si>
  <si>
    <t>SWITCH, BLANK PLUG</t>
  </si>
  <si>
    <t>ALLIED ELECTRONICS INC</t>
  </si>
  <si>
    <t>1530ARBB</t>
  </si>
  <si>
    <t>ALLEL</t>
  </si>
  <si>
    <t>41005</t>
  </si>
  <si>
    <t>THERMOSTAT, CUTOUT, 100F TO 300F</t>
  </si>
  <si>
    <t>A19AAB-7C</t>
  </si>
  <si>
    <t>41049</t>
  </si>
  <si>
    <t>SWITCH, LOW PRESSRE, SPDT, 6IN VAC-108PSI</t>
  </si>
  <si>
    <t>060-205166</t>
  </si>
  <si>
    <t>I:\Engineering\Refrigeration Development\PART ID NUMBERS\Specification Sheets\41049-A.pdf#I:\Engineering\Refrigeration Development\PART ID NUMBERS\Specification Sheets\41049-A.pdf#</t>
  </si>
  <si>
    <t>41506</t>
  </si>
  <si>
    <t>RELAY,TIME DELAY-ON-MAKE,DPDT,15-10M</t>
  </si>
  <si>
    <t>GE1A-C10HA110</t>
  </si>
  <si>
    <t>41903</t>
  </si>
  <si>
    <t>PRESSURE/VACUUM BREATHER 0.4-0.9 PSI</t>
  </si>
  <si>
    <t>PRV201-30</t>
  </si>
  <si>
    <t>41918</t>
  </si>
  <si>
    <t>THERMOSTAT, 220 DEG F,CT/96</t>
  </si>
  <si>
    <t>STOERMER-ANDERSON</t>
  </si>
  <si>
    <t>409560-001</t>
  </si>
  <si>
    <t>STOAN</t>
  </si>
  <si>
    <t>41960</t>
  </si>
  <si>
    <t>THERMOSTAT,COMPRESSOR</t>
  </si>
  <si>
    <t>998-0540-00</t>
  </si>
  <si>
    <t>42015</t>
  </si>
  <si>
    <t>CAPACITOR, QUENCHARC,125VAC ,150 OHM.1MF</t>
  </si>
  <si>
    <t>RILCO INCORPORATED</t>
  </si>
  <si>
    <t>XEB1201</t>
  </si>
  <si>
    <t>RILIN</t>
  </si>
  <si>
    <t>44300</t>
  </si>
  <si>
    <t>PRESSURE SWITCH BRACKET</t>
  </si>
  <si>
    <t>DWG. 44300</t>
  </si>
  <si>
    <t>45218</t>
  </si>
  <si>
    <t>BLADE,FAN,10 IN CW, 33D PITCH, ALUM</t>
  </si>
  <si>
    <t>60-7599-01</t>
  </si>
  <si>
    <t>45219</t>
  </si>
  <si>
    <t>BLADE,FAN,10 DIA 33 DEG CCW,ALUM 1725RP</t>
  </si>
  <si>
    <t>60-7600-01</t>
  </si>
  <si>
    <t>45221</t>
  </si>
  <si>
    <t>BLADE,FAN,10 IN,CW,19 DEG</t>
  </si>
  <si>
    <t>60-7173-01</t>
  </si>
  <si>
    <t>45224</t>
  </si>
  <si>
    <t>OBSOLETE,BLADE,FAN,10 ,CCW,19 DEG</t>
  </si>
  <si>
    <t>60-7174-01</t>
  </si>
  <si>
    <t>45230</t>
  </si>
  <si>
    <t>BLADE,FAN LAU, 12IN 33DEG CW, ALUM 1725R</t>
  </si>
  <si>
    <t>W88-965</t>
  </si>
  <si>
    <t>45307</t>
  </si>
  <si>
    <t>BLADE,FAN,LAU 12 IN CCW 27 DEG, ALUM</t>
  </si>
  <si>
    <t>60-7184-01</t>
  </si>
  <si>
    <t>45341</t>
  </si>
  <si>
    <t>BLADE,FAN, 14 IN, CCW 33 DEG PITCH</t>
  </si>
  <si>
    <t>60-7604-01</t>
  </si>
  <si>
    <t>45342</t>
  </si>
  <si>
    <t>BLADE, FAN, 14 IN 27 DEG CW, ALUM, LAU</t>
  </si>
  <si>
    <t>60-7189-01</t>
  </si>
  <si>
    <t>45343</t>
  </si>
  <si>
    <t>BLADE,FAN,16 IN 19 DEG PITCH,CCW, ALUM</t>
  </si>
  <si>
    <t>60-7170-01</t>
  </si>
  <si>
    <t>45344</t>
  </si>
  <si>
    <t>BLADE,FAN,16 IN 23 DEG CCW, ALUM, LAU</t>
  </si>
  <si>
    <t>60-7194-01</t>
  </si>
  <si>
    <t>45345</t>
  </si>
  <si>
    <t>BLADE,FAN,16 IN 27 DEG CW, ALUM,  LAU</t>
  </si>
  <si>
    <t>60-7195-01</t>
  </si>
  <si>
    <t>45346</t>
  </si>
  <si>
    <t>BLADE,FAN,16 IN CCW 27DEG, ALUM</t>
  </si>
  <si>
    <t>60-7196-01</t>
  </si>
  <si>
    <t>45349</t>
  </si>
  <si>
    <t>BLADE, FAN, 18 IN 33 DEG PITCH CW,  ALUM</t>
  </si>
  <si>
    <t>60-5585-01</t>
  </si>
  <si>
    <t>45415</t>
  </si>
  <si>
    <t>BLADE,FAN,12 IN 5/8 HUB, S/S,CW, PER SPE</t>
  </si>
  <si>
    <t>AIR TURBINE PROPELLER CO.</t>
  </si>
  <si>
    <t>S12-9</t>
  </si>
  <si>
    <t>AIRTU</t>
  </si>
  <si>
    <t>45416</t>
  </si>
  <si>
    <t>BLADE,FAN,10 IN 5/8 HUB,CW,S/S 1725R</t>
  </si>
  <si>
    <t>S10-9</t>
  </si>
  <si>
    <t>45417</t>
  </si>
  <si>
    <t>BLADE,FAN,14 IN 5/8 HUB,S/S, PER SPEC</t>
  </si>
  <si>
    <t>S14-9</t>
  </si>
  <si>
    <t>45418</t>
  </si>
  <si>
    <t>BLADE,FAN,10 IN CCW 5/8 HUB, S/S</t>
  </si>
  <si>
    <t>S10-9CCW</t>
  </si>
  <si>
    <t>45419</t>
  </si>
  <si>
    <t>BLADE,FAN,12 IN CCW, S/S</t>
  </si>
  <si>
    <t>45420</t>
  </si>
  <si>
    <t>BLADE,FAN,24 DEG, CW</t>
  </si>
  <si>
    <t>60-8356-01</t>
  </si>
  <si>
    <t>45425</t>
  </si>
  <si>
    <t>OBS. BLADE, PROP,2 1/2 IN 5/16 BORE</t>
  </si>
  <si>
    <t>UNITED STATES PLASTICS</t>
  </si>
  <si>
    <t>15213</t>
  </si>
  <si>
    <t>UNIST</t>
  </si>
  <si>
    <t>45455</t>
  </si>
  <si>
    <t>BLADE FAN 10" DIA CCW, 19 DEG 5/8 BORED</t>
  </si>
  <si>
    <t>AIR DRIVE, A DIVISION OF REVCOR INC</t>
  </si>
  <si>
    <t>4P10XLCCW19</t>
  </si>
  <si>
    <t>AIRDI</t>
  </si>
  <si>
    <t>45456</t>
  </si>
  <si>
    <t>BLADE FAN 10" DIA CCW, 33 DEG 5/8 BORED</t>
  </si>
  <si>
    <t>4P10XLCCW33</t>
  </si>
  <si>
    <t>45457</t>
  </si>
  <si>
    <t>BLADE,FAN,12 DIA,CCW,33 DEG,5/8 BORED</t>
  </si>
  <si>
    <t>4P12XLCCW33</t>
  </si>
  <si>
    <t>45500</t>
  </si>
  <si>
    <t>OBS BLADE,FAN,12 IN 3/8 BORE CW 21D</t>
  </si>
  <si>
    <t>998-0083-01</t>
  </si>
  <si>
    <t>45800</t>
  </si>
  <si>
    <t>BLADE,FAN,12 IN CCW 23D, ALUM, LAU</t>
  </si>
  <si>
    <t>60-7182-01</t>
  </si>
  <si>
    <t>45802</t>
  </si>
  <si>
    <t>BLADE,FAN,LAU 12 IN CW 23 DEG, ALUM</t>
  </si>
  <si>
    <t>60-7181-01</t>
  </si>
  <si>
    <t>45805</t>
  </si>
  <si>
    <t>BLADE, FAN, 12 IN 27 DEG, ALUM, LAU</t>
  </si>
  <si>
    <t>45810</t>
  </si>
  <si>
    <t>BLADE,FAN,LAU 12 33DEG CCW,ALUM 1725RPM</t>
  </si>
  <si>
    <t>60-7602-01</t>
  </si>
  <si>
    <t>45811</t>
  </si>
  <si>
    <t>OBSOLETE, BLADE,FAN,24 IN,CW,23DEG</t>
  </si>
  <si>
    <t>60-8043-01</t>
  </si>
  <si>
    <t>45812</t>
  </si>
  <si>
    <t>BLADE, FAN, 22 IN, CW, 27 DEG</t>
  </si>
  <si>
    <t>60-5593-01</t>
  </si>
  <si>
    <t>46061</t>
  </si>
  <si>
    <t>MOTOR, VERTICAL FAN, 230V</t>
  </si>
  <si>
    <t>998-0550-00</t>
  </si>
  <si>
    <t>46062</t>
  </si>
  <si>
    <t>MOTOR, VERTICAL FAN, 460V</t>
  </si>
  <si>
    <t>998-0550-01</t>
  </si>
  <si>
    <t>46075</t>
  </si>
  <si>
    <t>MOUNTING KIT,HEAD FAN,2D MOD COMP</t>
  </si>
  <si>
    <t>998-0574-11</t>
  </si>
  <si>
    <t>46079</t>
  </si>
  <si>
    <t>MOUNTING KIT,COMPRESSOR,2HP,50HZ,ZP-04</t>
  </si>
  <si>
    <t>527-0044-00</t>
  </si>
  <si>
    <t>46081</t>
  </si>
  <si>
    <t>KIT, MOUNTING, 9D-9R MODEL</t>
  </si>
  <si>
    <t>998-0574-08</t>
  </si>
  <si>
    <t>46083</t>
  </si>
  <si>
    <t>KIT,MTG,HEAD FAN,10/15 HP,COMPRESSOR</t>
  </si>
  <si>
    <t>998-0574-12</t>
  </si>
  <si>
    <t>46084</t>
  </si>
  <si>
    <t>OBS KIT, ASSY, HEAD FAN, 27 HP COMP 460V</t>
  </si>
  <si>
    <t>074-0814-00</t>
  </si>
  <si>
    <t>46085</t>
  </si>
  <si>
    <t>KIT, ASSY, HEAD FAN, 20HP COMP, 460V</t>
  </si>
  <si>
    <t>415-2100-46KIT</t>
  </si>
  <si>
    <t>46087</t>
  </si>
  <si>
    <t>COMPRESSOR, MTG PARTS, HERMETIC</t>
  </si>
  <si>
    <t>527-0044-08</t>
  </si>
  <si>
    <t>46088</t>
  </si>
  <si>
    <t>KIT,FAN MOUNT,4D COMP,CORE,NON UNLOAD</t>
  </si>
  <si>
    <t>998-0574-16</t>
  </si>
  <si>
    <t>46089</t>
  </si>
  <si>
    <t>527-0044-15</t>
  </si>
  <si>
    <t>46090</t>
  </si>
  <si>
    <t>KIT,FAN MOUNT,6D COMP,CORE,NON UNLOAD</t>
  </si>
  <si>
    <t>998-0574-18</t>
  </si>
  <si>
    <t>46102</t>
  </si>
  <si>
    <t>KIT, MTG, SCROLL COMPRESSOR, ZF</t>
  </si>
  <si>
    <t>527-0210-00</t>
  </si>
  <si>
    <t>46105</t>
  </si>
  <si>
    <t>KIT, STIFF, MTG, SCROLL COMPRESSORS</t>
  </si>
  <si>
    <t>527-0157-00</t>
  </si>
  <si>
    <t>46110</t>
  </si>
  <si>
    <t>KIT,SOLID,MTG,SCROLL COMPRESSOR,7.5-15HP</t>
  </si>
  <si>
    <t>527-0158-00</t>
  </si>
  <si>
    <t>46206</t>
  </si>
  <si>
    <t>KIT,FLANGE,1 1/2 IN.</t>
  </si>
  <si>
    <t>KIT-14A-612</t>
  </si>
  <si>
    <t>46507</t>
  </si>
  <si>
    <t>EXP., CLAMP, HOSE,WORM,1/4 TO 5/8 HOSE</t>
  </si>
  <si>
    <t>47003</t>
  </si>
  <si>
    <t>GUARD, FAN, COATED, (12 IN BLADE)</t>
  </si>
  <si>
    <t>117-2444</t>
  </si>
  <si>
    <t>47024</t>
  </si>
  <si>
    <t>GUARD, FAN, 18 IN, ZP-LINE</t>
  </si>
  <si>
    <t>41NL14</t>
  </si>
  <si>
    <t>47031</t>
  </si>
  <si>
    <t>GUARD,FAN,24 IN, ZP-LINE</t>
  </si>
  <si>
    <t>22YH42</t>
  </si>
  <si>
    <t>47212</t>
  </si>
  <si>
    <t>MOTOR, 208/230V, 1/8HP, 1550 RPM,Z-COND.</t>
  </si>
  <si>
    <t>REGAL BELOIT AMERICA-FASCO</t>
  </si>
  <si>
    <t>7190-1315</t>
  </si>
  <si>
    <t>FASIN</t>
  </si>
  <si>
    <t>47218</t>
  </si>
  <si>
    <t>MOTOR, 1/4HP, 1075RPM, 230V-1PH, ZP-LINE</t>
  </si>
  <si>
    <t>3084</t>
  </si>
  <si>
    <t>47222</t>
  </si>
  <si>
    <t>MOTOR,CONDENSER,1/2HP,1075</t>
  </si>
  <si>
    <t>3734</t>
  </si>
  <si>
    <t>47229</t>
  </si>
  <si>
    <t>MOTOR, CONDENSER, 1/2HP, 1075, 50/60</t>
  </si>
  <si>
    <t>1862PFP</t>
  </si>
  <si>
    <t>47501</t>
  </si>
  <si>
    <t>HUB, (LAU), 3/8</t>
  </si>
  <si>
    <t>W69-122</t>
  </si>
  <si>
    <t>47510</t>
  </si>
  <si>
    <t>HUB, FAN, LAU 5/8</t>
  </si>
  <si>
    <t>W69-124</t>
  </si>
  <si>
    <t>47511</t>
  </si>
  <si>
    <t>HUB, FAN, 1/2 IN BORE</t>
  </si>
  <si>
    <t>60-7658-04</t>
  </si>
  <si>
    <t>47800</t>
  </si>
  <si>
    <t>KIT, CAP BOOT</t>
  </si>
  <si>
    <t>2MEV1</t>
  </si>
  <si>
    <t>48022</t>
  </si>
  <si>
    <t>PUMP, RECIRCULATING, 115V, 2-MD-SC</t>
  </si>
  <si>
    <t>580503</t>
  </si>
  <si>
    <t>48945</t>
  </si>
  <si>
    <t>MUFFLER,PNEUMATIC,EXH.1/8 NPT</t>
  </si>
  <si>
    <t>4427K51</t>
  </si>
  <si>
    <t>49209</t>
  </si>
  <si>
    <t>FLOAT VALVE ASSY, S/S,1/4 MNPT W/O FLOAT</t>
  </si>
  <si>
    <t>RM262-5</t>
  </si>
  <si>
    <t>49210</t>
  </si>
  <si>
    <t>FLOAT, SPHERICAL, 2 1/2 IN DIA.  1/4-20</t>
  </si>
  <si>
    <t>2817K13</t>
  </si>
  <si>
    <t>49305</t>
  </si>
  <si>
    <t>VALVE,GATE, 1/2 IN PIPE</t>
  </si>
  <si>
    <t>6TWJ8</t>
  </si>
  <si>
    <t>49505</t>
  </si>
  <si>
    <t>VALVE,NEEDLE,BRASS 1/8</t>
  </si>
  <si>
    <t>ROBO-FIT</t>
  </si>
  <si>
    <t>31NV</t>
  </si>
  <si>
    <t>ROBFI</t>
  </si>
  <si>
    <t>49510</t>
  </si>
  <si>
    <t>VALVE,NEEDLE,BRASS 1/4</t>
  </si>
  <si>
    <t>32NV</t>
  </si>
  <si>
    <t>49700</t>
  </si>
  <si>
    <t>VALVE,WATER, 3/8</t>
  </si>
  <si>
    <t>V46AA1C</t>
  </si>
  <si>
    <t>49705</t>
  </si>
  <si>
    <t>VALVE, WATER, 1/2</t>
  </si>
  <si>
    <t>V46AB-1C</t>
  </si>
  <si>
    <t>49710</t>
  </si>
  <si>
    <t>VALVE, WATER, 3/4</t>
  </si>
  <si>
    <t>V46AC-1C</t>
  </si>
  <si>
    <t>49715</t>
  </si>
  <si>
    <t>VALVE, WATER, 1 IN. FPT</t>
  </si>
  <si>
    <t>V46AD-1C</t>
  </si>
  <si>
    <t>49718</t>
  </si>
  <si>
    <t>VALVE,WATER,1 1/4 IN. FPT</t>
  </si>
  <si>
    <t>V46AE-1C</t>
  </si>
  <si>
    <t>49723</t>
  </si>
  <si>
    <t>VALVE,BALL,PVC,1/4</t>
  </si>
  <si>
    <t>22195</t>
  </si>
  <si>
    <t>49730</t>
  </si>
  <si>
    <t>VALVE,WATER,REG.1-1/2 FLANGE</t>
  </si>
  <si>
    <t>V46AR-IC</t>
  </si>
  <si>
    <t>49760</t>
  </si>
  <si>
    <t>FLOW METER, PILOT TUBE, HORIZONTAL</t>
  </si>
  <si>
    <t>F-30125T</t>
  </si>
  <si>
    <t>49770</t>
  </si>
  <si>
    <t>WATER FLW MTR, 20-100 GPM, 1.5 OD COPPER</t>
  </si>
  <si>
    <t>D-30150T</t>
  </si>
  <si>
    <t>49771</t>
  </si>
  <si>
    <t>WATER FLW MTR,40-150 GPM,2IN OD COPPER</t>
  </si>
  <si>
    <t>D-30200T</t>
  </si>
  <si>
    <t>49772</t>
  </si>
  <si>
    <t>FLOW MTR, PILOT TUBE, 20-100 GPM, 1/ 1/2</t>
  </si>
  <si>
    <t>49805</t>
  </si>
  <si>
    <t>VALVE,FLOW CONTROL,AIR 1/4 NP</t>
  </si>
  <si>
    <t>KAMAN FLUID POWER LLC</t>
  </si>
  <si>
    <t>3251-0250</t>
  </si>
  <si>
    <t>BWROG</t>
  </si>
  <si>
    <t>50005</t>
  </si>
  <si>
    <t>EXPENSE,TUBE, ARMAFLEX, 1/2 T X 3/8 WALL</t>
  </si>
  <si>
    <t>APT01238</t>
  </si>
  <si>
    <t>50011</t>
  </si>
  <si>
    <t>CLAMP, CABLE,INSULATED 1/2</t>
  </si>
  <si>
    <t>STAR TECHNOLOGIES, LLC</t>
  </si>
  <si>
    <t>S8250-A-8N</t>
  </si>
  <si>
    <t>STATE</t>
  </si>
  <si>
    <t>50015</t>
  </si>
  <si>
    <t>CLAMP, CABLE,INSULATED 3/4</t>
  </si>
  <si>
    <t>S8250-A12N</t>
  </si>
  <si>
    <t>50018</t>
  </si>
  <si>
    <t>EXP., BUSHING, SNAP, 3/8 ID</t>
  </si>
  <si>
    <t>CABLE COMPONENTS, INC.</t>
  </si>
  <si>
    <t>2053</t>
  </si>
  <si>
    <t>CABCO</t>
  </si>
  <si>
    <t>50021</t>
  </si>
  <si>
    <t>CLAMP, INSULATED, 1/2, 1 HOLE</t>
  </si>
  <si>
    <t>WAYTEK  INC.</t>
  </si>
  <si>
    <t>25608</t>
  </si>
  <si>
    <t>WAYIN</t>
  </si>
  <si>
    <t>50024</t>
  </si>
  <si>
    <t>CLAMP, INSULATED STEEL, 1 3/8</t>
  </si>
  <si>
    <t>S8250-SS-22N</t>
  </si>
  <si>
    <t>50027</t>
  </si>
  <si>
    <t>CLAMP, CABLE, INSULATED, 5/8</t>
  </si>
  <si>
    <t>S8250-SS-10N</t>
  </si>
  <si>
    <t>50033</t>
  </si>
  <si>
    <t>EXPENSE,TUBE, ARMAFLEX, 3/8 W 5/8 TUBE</t>
  </si>
  <si>
    <t>APT03438</t>
  </si>
  <si>
    <t>50036</t>
  </si>
  <si>
    <t>EXPENSE,TUBE,ARMAFLEX,1/4 T X 3/8 WALL</t>
  </si>
  <si>
    <t>APT01438</t>
  </si>
  <si>
    <t>50039</t>
  </si>
  <si>
    <t>EXPENSE,TUBE,ARMAFLEX,3/8W X 3/8T</t>
  </si>
  <si>
    <t>APT03838</t>
  </si>
  <si>
    <t>50040</t>
  </si>
  <si>
    <t>EXP.,TUBE, ARMAFLEX, 3/8W X 1-3/8TUBE</t>
  </si>
  <si>
    <t>APT13838</t>
  </si>
  <si>
    <t>50041</t>
  </si>
  <si>
    <t>CLAMP, CABLE,INSULATED 3/8</t>
  </si>
  <si>
    <t>S8250-A-6N</t>
  </si>
  <si>
    <t>50045</t>
  </si>
  <si>
    <t>BUSHING, SNAP,1/4 ID SB437-4</t>
  </si>
  <si>
    <t>2038</t>
  </si>
  <si>
    <t>50046</t>
  </si>
  <si>
    <t>EXP., TUBING, ARMAFLEX, 3/8W X 3/8TUBE</t>
  </si>
  <si>
    <t>50047</t>
  </si>
  <si>
    <t>CLAMP, CABLE INS. 3/8 SINGLE SCW</t>
  </si>
  <si>
    <t>25106</t>
  </si>
  <si>
    <t>50049</t>
  </si>
  <si>
    <t>CLAMP, INSULATED, 1/4,1 HOLE</t>
  </si>
  <si>
    <t>25104</t>
  </si>
  <si>
    <t>50055</t>
  </si>
  <si>
    <t>EXPENSE,TUBE, ARMAFLEX, 2 1/8TX 3/8 WALL</t>
  </si>
  <si>
    <t>APT21838</t>
  </si>
  <si>
    <t>50056</t>
  </si>
  <si>
    <t>TUBE, ARMAFLEX, HIGH TEMP, 1/2 X 3/4 W</t>
  </si>
  <si>
    <t>SUPERIOR PLUS CONSTRUCTIONS PRODUCTS CORP</t>
  </si>
  <si>
    <t>HTT01234</t>
  </si>
  <si>
    <t>SPPRO</t>
  </si>
  <si>
    <t>50057</t>
  </si>
  <si>
    <t>TUBE, ARMAFLEX, HIGH TEMP, 3/4 X 3/4 W</t>
  </si>
  <si>
    <t>HTT03434</t>
  </si>
  <si>
    <t>50058</t>
  </si>
  <si>
    <t>TUBE, ARMAFLEX, HIGH TEMP, 1 1/8 X 3/4 W</t>
  </si>
  <si>
    <t>HTT11834</t>
  </si>
  <si>
    <t>50059</t>
  </si>
  <si>
    <t>SHEET,ARMAFLEX, HIGH TEMP 3/4 THICK</t>
  </si>
  <si>
    <t>HTR19010</t>
  </si>
  <si>
    <t>50066</t>
  </si>
  <si>
    <t>EXPENSE,TUBE, ARMAFLEX, 5/8 X 3/8 WALL</t>
  </si>
  <si>
    <t>APT05838</t>
  </si>
  <si>
    <t>50072</t>
  </si>
  <si>
    <t>EXP., TUBING, ARMAFLEX, 5/8 X 3/8 WALL</t>
  </si>
  <si>
    <t>50073</t>
  </si>
  <si>
    <t>CLAMP,CABLE,INSULATED 7/8</t>
  </si>
  <si>
    <t>S8250-A-14N</t>
  </si>
  <si>
    <t>50074</t>
  </si>
  <si>
    <t>EXPENSE,TUBE, ARMAFLEX, 7/8TUBEX3/8W</t>
  </si>
  <si>
    <t>APT07838</t>
  </si>
  <si>
    <t>50075</t>
  </si>
  <si>
    <t>BUSHING, REDUCING 1/4MPTx 1/8 F</t>
  </si>
  <si>
    <t>COLE-PARMER INSTRUMENT COMPANY</t>
  </si>
  <si>
    <t>Z-06349-30</t>
  </si>
  <si>
    <t>COLPA</t>
  </si>
  <si>
    <t>50076</t>
  </si>
  <si>
    <t>CLAMP,INSULATED,STEEL 1 1/8</t>
  </si>
  <si>
    <t>S8250-SS-18N</t>
  </si>
  <si>
    <t>50080</t>
  </si>
  <si>
    <t>CLAMP,INSULATED STEEL,1 5/8</t>
  </si>
  <si>
    <t>S8250-SS-26N.</t>
  </si>
  <si>
    <t>50081</t>
  </si>
  <si>
    <t>CLAMP,INSULATED STEEL,2 1/8</t>
  </si>
  <si>
    <t>S8250-SS-34N</t>
  </si>
  <si>
    <t>50082</t>
  </si>
  <si>
    <t>STRAIN RELIEF, BUSHING, R/ASR112</t>
  </si>
  <si>
    <t>11-2</t>
  </si>
  <si>
    <t>50096</t>
  </si>
  <si>
    <t>EXPENSE,TUBE, ARMAFLEX, 3/8 T X 1/2 WALL</t>
  </si>
  <si>
    <t>APT03812</t>
  </si>
  <si>
    <t>50105</t>
  </si>
  <si>
    <t>EXPENSE,TUBE,ARMAFLEX, 1/2 W 1/2 IN TUBE</t>
  </si>
  <si>
    <t>APT01212</t>
  </si>
  <si>
    <t>50112</t>
  </si>
  <si>
    <t>EXPENSE,TUBE, ARMAFLEX, 5/8 W 1/2 TUBE</t>
  </si>
  <si>
    <t>APT05812</t>
  </si>
  <si>
    <t>50114</t>
  </si>
  <si>
    <t>EXPENSE,TUBE, ARMAFLEX, 1/2 W 5/8 TUBE</t>
  </si>
  <si>
    <t>APT03412</t>
  </si>
  <si>
    <t>50131</t>
  </si>
  <si>
    <t>EXPENSE,TUBE, ARMAFLEX, 1/2W x 1TUBE</t>
  </si>
  <si>
    <t>APT11812</t>
  </si>
  <si>
    <t>50140</t>
  </si>
  <si>
    <t>EXPENSE,TUBE, ARMAFLEX, 1/2W x 1 3/8TUBE</t>
  </si>
  <si>
    <t>APT13812</t>
  </si>
  <si>
    <t>50141</t>
  </si>
  <si>
    <t>EXPENSE,TUBE, ARMAFLEX, 7/8  X 1/2 WALL</t>
  </si>
  <si>
    <t>APT07812</t>
  </si>
  <si>
    <t>50145</t>
  </si>
  <si>
    <t>EXPENSE,TUBE, ARMAFLEX, 1/2W x 1-1/2TUBE</t>
  </si>
  <si>
    <t>APT15812</t>
  </si>
  <si>
    <t>50151</t>
  </si>
  <si>
    <t>FOAM, SOUND DEADENING, 1 IN.</t>
  </si>
  <si>
    <t>THE SOUNDCOAT CO.  INC.</t>
  </si>
  <si>
    <t>F0400H05</t>
  </si>
  <si>
    <t>SOUND</t>
  </si>
  <si>
    <t>50154</t>
  </si>
  <si>
    <t>SOUND BLANKET,COMPRESSOR,7.5-15 HP,SCROL</t>
  </si>
  <si>
    <t>505-0637-00</t>
  </si>
  <si>
    <t>50155</t>
  </si>
  <si>
    <t>EXPENSE,TUBE, ARMAFLEX, 1/2W x2TUBE</t>
  </si>
  <si>
    <t>APT21812</t>
  </si>
  <si>
    <t>50165</t>
  </si>
  <si>
    <t>EXPENSE,TUBE, ARMAFLEX, 1/2Wx 2-1/2 TUBE</t>
  </si>
  <si>
    <t>APT25812</t>
  </si>
  <si>
    <t>50166</t>
  </si>
  <si>
    <t>EXPENSE,TUBE, ARMAFLEX,7/8 X 3/4</t>
  </si>
  <si>
    <t>APT07834</t>
  </si>
  <si>
    <t>50167</t>
  </si>
  <si>
    <t>EXPENSE,TUBE, ARMAFLEX,1/2 X 3/4</t>
  </si>
  <si>
    <t>APT01234</t>
  </si>
  <si>
    <t>50168</t>
  </si>
  <si>
    <t>EXPENSE,TUBE, ARMAFLEX,1 1/8 X 3/4</t>
  </si>
  <si>
    <t>APT11834</t>
  </si>
  <si>
    <t>50176</t>
  </si>
  <si>
    <t>CONNECTOR, COMP. 1/4 X 1/4</t>
  </si>
  <si>
    <t>61024</t>
  </si>
  <si>
    <t>50178</t>
  </si>
  <si>
    <t>CONNECTOR, COMP. 3/8 T X 1/2 NPT</t>
  </si>
  <si>
    <t>61179</t>
  </si>
  <si>
    <t>50181</t>
  </si>
  <si>
    <t>EXPENSE,TUBE, ARMAFLEX, 1/2Wx3TUBE</t>
  </si>
  <si>
    <t>APT31812</t>
  </si>
  <si>
    <t>50185</t>
  </si>
  <si>
    <t>CONNECTOR, COMP., 1/8 MPT</t>
  </si>
  <si>
    <t>Z-06385-05</t>
  </si>
  <si>
    <t>50190</t>
  </si>
  <si>
    <t>EXPENSE,TUBE, ARMAFLEX, 1/2W 31X2 PIPE</t>
  </si>
  <si>
    <t>APT35812</t>
  </si>
  <si>
    <t>50201</t>
  </si>
  <si>
    <t>EXPENSE,TUBE, ARMAFLEX, 1/2W x 4 PIPE</t>
  </si>
  <si>
    <t>APT04012</t>
  </si>
  <si>
    <t>50206</t>
  </si>
  <si>
    <t>EXP,TUBE, ARMAFLEX, 1/2 IN W 5 IN PIPE</t>
  </si>
  <si>
    <t>APT50012</t>
  </si>
  <si>
    <t>50296</t>
  </si>
  <si>
    <t>EXP,TUBE, ARMAFLEX 3/8 ID X 3/4 IN W</t>
  </si>
  <si>
    <t>APT03834</t>
  </si>
  <si>
    <t>50505</t>
  </si>
  <si>
    <t>EXPENSE,INSULATION, SHEET,1/4</t>
  </si>
  <si>
    <t>6404</t>
  </si>
  <si>
    <t>50506</t>
  </si>
  <si>
    <t>EXP, INSULATION 90 DEG ELBOW 1/2 X 1/2 W</t>
  </si>
  <si>
    <t>RU-801-LRE-048048</t>
  </si>
  <si>
    <t>50507</t>
  </si>
  <si>
    <t>EXP, INSULATION 90 DEG ELBOW 5/8 X 1/2 W</t>
  </si>
  <si>
    <t>RU-801-LRE-048058</t>
  </si>
  <si>
    <t>50508</t>
  </si>
  <si>
    <t>EXP, INSULATION 90 DEG ELBOW 7/8 X 1/2 W</t>
  </si>
  <si>
    <t>RU-801-LRE-048078</t>
  </si>
  <si>
    <t>50509</t>
  </si>
  <si>
    <t>EXP, INSULATION 90 DEG ELB 1 1/8 X1/2 W</t>
  </si>
  <si>
    <t>RU801-LRE-048118</t>
  </si>
  <si>
    <t>50515</t>
  </si>
  <si>
    <t>EXPENSE,ARMAFLEX,SHEET,1/2 IN</t>
  </si>
  <si>
    <t>APS12043</t>
  </si>
  <si>
    <t>50516</t>
  </si>
  <si>
    <t>EXP, INSULATION 90 DEG ELB 1 3/8 X 1/2 W</t>
  </si>
  <si>
    <t>RU-801-LRE-048138</t>
  </si>
  <si>
    <t>50517</t>
  </si>
  <si>
    <t>EXP, ARMAFLEX, SHEET, 1/4 IN</t>
  </si>
  <si>
    <t>36X48X14</t>
  </si>
  <si>
    <t>50520</t>
  </si>
  <si>
    <t>INSULATION KIT, CASCADE COND. 1HP, ZP-04</t>
  </si>
  <si>
    <t>50525</t>
  </si>
  <si>
    <t>INSULATION KIT, CASCADE COND. 2HP, ZP-04</t>
  </si>
  <si>
    <t>INS022030</t>
  </si>
  <si>
    <t>50530</t>
  </si>
  <si>
    <t>2012430</t>
  </si>
  <si>
    <t>50532</t>
  </si>
  <si>
    <t>INSULATION KIT, CASCADE COND. 6HP, ZP-O4</t>
  </si>
  <si>
    <t>50533</t>
  </si>
  <si>
    <t>INSULATION KIT,CASCADE,10HP,ZP04</t>
  </si>
  <si>
    <t>50534</t>
  </si>
  <si>
    <t>INSULATION KIT,CASCADE,15HP,ZP04</t>
  </si>
  <si>
    <t>50536</t>
  </si>
  <si>
    <t>INSULATION KIT, CASCADE, 20 HP, ZP</t>
  </si>
  <si>
    <t>51008</t>
  </si>
  <si>
    <t>FITTING, TANK, 1/4 IN PVC , HEMO</t>
  </si>
  <si>
    <t>NOLTE PRECISE MANUFACTURING</t>
  </si>
  <si>
    <t>NOLPR</t>
  </si>
  <si>
    <t>51021</t>
  </si>
  <si>
    <t>GASKET, FLUID CAP, TEFLON</t>
  </si>
  <si>
    <t>CP3612-TEF</t>
  </si>
  <si>
    <t>51022</t>
  </si>
  <si>
    <t>GROMMET, FLEXIBLE, .375 TO .405</t>
  </si>
  <si>
    <t>KENNARD INDUSTRIES INC</t>
  </si>
  <si>
    <t>375</t>
  </si>
  <si>
    <t>KENIN</t>
  </si>
  <si>
    <t>51028</t>
  </si>
  <si>
    <t>GROMMET, VINYL,1 3/8 ID</t>
  </si>
  <si>
    <t>1300</t>
  </si>
  <si>
    <t>51031</t>
  </si>
  <si>
    <t>GASKET, SERVICE,VALVE,1/2</t>
  </si>
  <si>
    <t>020-1224-00</t>
  </si>
  <si>
    <t>51044</t>
  </si>
  <si>
    <t>EXPENSE,GASKET,KLINGERSIL,60 X60 X1/4</t>
  </si>
  <si>
    <t>CINCINNATI GASKET PACKING &amp; MFG INC</t>
  </si>
  <si>
    <t>NA700</t>
  </si>
  <si>
    <t>CINGS</t>
  </si>
  <si>
    <t>51054</t>
  </si>
  <si>
    <t>FITTING,BULKHEAD, 1/2 NPT, FEMALE</t>
  </si>
  <si>
    <t>36895K121</t>
  </si>
  <si>
    <t>51300</t>
  </si>
  <si>
    <t>ELBOW, HOSE BARB, 1/8 IN MPT X 1/4 H</t>
  </si>
  <si>
    <t>EW-06466-15</t>
  </si>
  <si>
    <t>51325</t>
  </si>
  <si>
    <t>ELBOW, HOSE BARB, 1/8MPT X 3/8 HO</t>
  </si>
  <si>
    <t>Z-30622-87</t>
  </si>
  <si>
    <t>51524</t>
  </si>
  <si>
    <t>ELBOW, COMP., 1/4 TUBE X 1/8 FPT, NYLON</t>
  </si>
  <si>
    <t>50775K379</t>
  </si>
  <si>
    <t>51526</t>
  </si>
  <si>
    <t>ELBOW, COMP. 1/4 IN X 1/8 IN PIPE NYLON</t>
  </si>
  <si>
    <t>61030</t>
  </si>
  <si>
    <t>51527</t>
  </si>
  <si>
    <t>ELBOW, COMP. 1/4 IN TUBE X 1/4 IN PIPE</t>
  </si>
  <si>
    <t>61031</t>
  </si>
  <si>
    <t>51528</t>
  </si>
  <si>
    <t>ELBOW, COMP. 3/8 IN TUBE X 1/4 IN FNPT</t>
  </si>
  <si>
    <t>61040</t>
  </si>
  <si>
    <t>51561</t>
  </si>
  <si>
    <t>ELBOW, 1/2 IN MIPT, HI DENSITY, POLY</t>
  </si>
  <si>
    <t>62043</t>
  </si>
  <si>
    <t>51704</t>
  </si>
  <si>
    <t>GASKET,SILICONE CHR 1 IN X 1/8TH</t>
  </si>
  <si>
    <t>STRIP-N-STICK 200A</t>
  </si>
  <si>
    <t>52014</t>
  </si>
  <si>
    <t>PLUG, HOLE,PLASTIC,.875 DP-875</t>
  </si>
  <si>
    <t>2703</t>
  </si>
  <si>
    <t>52019</t>
  </si>
  <si>
    <t>PLUG, BLANK, 1.187 IN DIA. MOUNTING HOLE</t>
  </si>
  <si>
    <t>DP1187 -#2733</t>
  </si>
  <si>
    <t>52023</t>
  </si>
  <si>
    <t>1-1/2 IN LOCK HOLE PLUG</t>
  </si>
  <si>
    <t>85985K29</t>
  </si>
  <si>
    <t>52050</t>
  </si>
  <si>
    <t>BUTTON, PALM, VERSA</t>
  </si>
  <si>
    <t>BIK-2209-P</t>
  </si>
  <si>
    <t>52228</t>
  </si>
  <si>
    <t>LID, TANK,POLY,18 X 4</t>
  </si>
  <si>
    <t>11101</t>
  </si>
  <si>
    <t>52570</t>
  </si>
  <si>
    <t>INSERT,TUBE,1/4</t>
  </si>
  <si>
    <t>61061</t>
  </si>
  <si>
    <t>52804</t>
  </si>
  <si>
    <t>PLATE, MOUNTING NOZZLE, HUMIDITY</t>
  </si>
  <si>
    <t>QUEEN CITY POLYMERS, INC.</t>
  </si>
  <si>
    <t>QUEPO</t>
  </si>
  <si>
    <t>52806</t>
  </si>
  <si>
    <t>PLATE,ACRYLIC,HUMIDITY BOX COVER,CT</t>
  </si>
  <si>
    <t>52906</t>
  </si>
  <si>
    <t>METER  FLOW, 5-50, CC/MIN</t>
  </si>
  <si>
    <t>RMA-32-SSV</t>
  </si>
  <si>
    <t>I:\Engineering\Refrigeration Development\PART ID NUMBERS\Specification Sheets\52906-A.pdf#I:\Engineering\Refrigeration Development\PART ID NUMBERS\Specification Sheets\52906-A.pdf#</t>
  </si>
  <si>
    <t>52907</t>
  </si>
  <si>
    <t>METER, FLOW, W/BRS VALVE 20-200</t>
  </si>
  <si>
    <t>RMA-10-SSV</t>
  </si>
  <si>
    <t>52916</t>
  </si>
  <si>
    <t>METER, FLOW, W/SS VALVE 40-400</t>
  </si>
  <si>
    <t>RMB-55-SSV</t>
  </si>
  <si>
    <t>53004</t>
  </si>
  <si>
    <t>TANK, POLYETHYLENE,18X4X18</t>
  </si>
  <si>
    <t>11091</t>
  </si>
  <si>
    <t>53038</t>
  </si>
  <si>
    <t>SHROUD,CURTAIN,MICROCLIMATE,PLASTIC</t>
  </si>
  <si>
    <t>FOAM CONCEPTS &amp; DESIGN INC</t>
  </si>
  <si>
    <t>C75034</t>
  </si>
  <si>
    <t>FOACO</t>
  </si>
  <si>
    <t>53045</t>
  </si>
  <si>
    <t>TEE, COMP,NYLON,1/4 IN TUBE OD</t>
  </si>
  <si>
    <t>61009</t>
  </si>
  <si>
    <t>53047</t>
  </si>
  <si>
    <t>TEE, COMP, NYLON, 3/8T X 3/8T X 1/4 NPT</t>
  </si>
  <si>
    <t>61046</t>
  </si>
  <si>
    <t>53051</t>
  </si>
  <si>
    <t>EXP., QTIE, CABLE, MGT ADB, BACK, 3/4</t>
  </si>
  <si>
    <t>ABMM-A-D</t>
  </si>
  <si>
    <t>53053</t>
  </si>
  <si>
    <t>TIE,CABLE,36 INCH</t>
  </si>
  <si>
    <t>G80002</t>
  </si>
  <si>
    <t>54008</t>
  </si>
  <si>
    <t>TUBE, TEFLON, 1/8 OD</t>
  </si>
  <si>
    <t>L-06406-62</t>
  </si>
  <si>
    <t>54009</t>
  </si>
  <si>
    <t>UNION, BULKHEAD, 1/4 OD TUBE</t>
  </si>
  <si>
    <t>61121</t>
  </si>
  <si>
    <t>54013</t>
  </si>
  <si>
    <t>TUBE, POLYETHYLENE,3/8 OD</t>
  </si>
  <si>
    <t>EB-64-500</t>
  </si>
  <si>
    <t>54021</t>
  </si>
  <si>
    <t>TUBE, PRESS. POLY, 1/4ODX.190ID</t>
  </si>
  <si>
    <t>4HM13</t>
  </si>
  <si>
    <t>54040</t>
  </si>
  <si>
    <t>TUBE, PRESS. POLY, 3/8 OD X .295 ID</t>
  </si>
  <si>
    <t>4HM15</t>
  </si>
  <si>
    <t>54314</t>
  </si>
  <si>
    <t>TUBE, FEP, 1/4 I.D.X 5/16 O.D.</t>
  </si>
  <si>
    <t>EW-06406-72</t>
  </si>
  <si>
    <t>54315</t>
  </si>
  <si>
    <t>TUBE, FEP, 3/8 I.D.X 7/16 O.D.</t>
  </si>
  <si>
    <t>EW-06406-12</t>
  </si>
  <si>
    <t>55470</t>
  </si>
  <si>
    <t>FILTER, PLASTIC, 36 MICRON</t>
  </si>
  <si>
    <t>RVM44PE80X700P</t>
  </si>
  <si>
    <t>55550</t>
  </si>
  <si>
    <t>RO WATER PURIFICATION SYSTEM 100 GPD</t>
  </si>
  <si>
    <t>TWM-100</t>
  </si>
  <si>
    <t>56012</t>
  </si>
  <si>
    <t>HINGE, CONT. 11/2X.06X34 IN.</t>
  </si>
  <si>
    <t>H.A.GUDEN CO., INC.</t>
  </si>
  <si>
    <t>28548-0993</t>
  </si>
  <si>
    <t>GUDCO</t>
  </si>
  <si>
    <t>56043</t>
  </si>
  <si>
    <t>HINGE,PIANO,S/S,11/16 X 6FT</t>
  </si>
  <si>
    <t>MOORE INDUSTRIAL HARDWARE</t>
  </si>
  <si>
    <t>SS-4017C120C-72</t>
  </si>
  <si>
    <t>PAUMO</t>
  </si>
  <si>
    <t>56193</t>
  </si>
  <si>
    <t>PAINT, SPRAY,NITRO BLUE</t>
  </si>
  <si>
    <t>SHERWIN WILLIAMS COMPANY</t>
  </si>
  <si>
    <t>L61XXL2189431</t>
  </si>
  <si>
    <t>SHEWI</t>
  </si>
  <si>
    <t>56324</t>
  </si>
  <si>
    <t>PLATE,  BEFORE SERVICING</t>
  </si>
  <si>
    <t>DWG. 56324</t>
  </si>
  <si>
    <t>56685</t>
  </si>
  <si>
    <t>EXPENSE LABEL, HUMIDITY,WATER PRESSURE</t>
  </si>
  <si>
    <t>MR. LABEL CO., INC.</t>
  </si>
  <si>
    <t>MRLAB</t>
  </si>
  <si>
    <t>56687</t>
  </si>
  <si>
    <t>EXPENSE LABEL, HUMIDITY NOZZLE</t>
  </si>
  <si>
    <t>56691</t>
  </si>
  <si>
    <t>EXPENSE LABEL, FILTER DEMINERALIZER</t>
  </si>
  <si>
    <t>57014</t>
  </si>
  <si>
    <t>REFRIGERANT, HP62-404A,100#,CYL</t>
  </si>
  <si>
    <t>HP62 (R404A)</t>
  </si>
  <si>
    <t>57073</t>
  </si>
  <si>
    <t>PLATE, NAME, INTERSTAGE PRESSURE</t>
  </si>
  <si>
    <t>E.C.SHAW COMPANY</t>
  </si>
  <si>
    <t>ECSCO</t>
  </si>
  <si>
    <t>57105</t>
  </si>
  <si>
    <t>SILVALOY,#6 .050 X 1/8</t>
  </si>
  <si>
    <t>F&amp;M MAFCO INC</t>
  </si>
  <si>
    <t>JWH 6620F</t>
  </si>
  <si>
    <t>FMGRO</t>
  </si>
  <si>
    <t>57112</t>
  </si>
  <si>
    <t>SPRING, 0-80 PSI</t>
  </si>
  <si>
    <t>1800E-2</t>
  </si>
  <si>
    <t>57117</t>
  </si>
  <si>
    <t>REFRIGERANT,AZ-20,R-410A</t>
  </si>
  <si>
    <t>R410A</t>
  </si>
  <si>
    <t>57125</t>
  </si>
  <si>
    <t>REFRIGERANT, SUVA95,70LB,CYL (R508-B)</t>
  </si>
  <si>
    <t>57141</t>
  </si>
  <si>
    <t>REFRIGERANT, 30R134A, 30# CYL IND BLDG 1</t>
  </si>
  <si>
    <t>30R134A</t>
  </si>
  <si>
    <t>58020</t>
  </si>
  <si>
    <t>RETAINER, SCREW, PLASTIC, ECII AND MTII</t>
  </si>
  <si>
    <t>ECP HARDWARE</t>
  </si>
  <si>
    <t>12-11064-42</t>
  </si>
  <si>
    <t>ECPHA</t>
  </si>
  <si>
    <t>58024</t>
  </si>
  <si>
    <t>SCREW, FASTENER, SLOTTED HD, #12</t>
  </si>
  <si>
    <t>12-11-807-11</t>
  </si>
  <si>
    <t>58025</t>
  </si>
  <si>
    <t>RECEPTACLE, SIDE MOUNT, (SOUTHCO)</t>
  </si>
  <si>
    <t>12-90-101-10</t>
  </si>
  <si>
    <t>60300</t>
  </si>
  <si>
    <t>EXP., NUT, KEPS, 8-32</t>
  </si>
  <si>
    <t>ADVANCED FASTENER CORP.</t>
  </si>
  <si>
    <t>8CNKEZ</t>
  </si>
  <si>
    <t>ADVFA</t>
  </si>
  <si>
    <t>60301</t>
  </si>
  <si>
    <t>EXP., NUT, KEPS, 6-32</t>
  </si>
  <si>
    <t>6CNKEZ</t>
  </si>
  <si>
    <t>60553</t>
  </si>
  <si>
    <t>EXP.,RIVET, 1/8 DIA.,AVDEL #1604-0412</t>
  </si>
  <si>
    <t>/16820412</t>
  </si>
  <si>
    <t>60638</t>
  </si>
  <si>
    <t>WASHER, FLAT, 1-3/8</t>
  </si>
  <si>
    <t>90126A041</t>
  </si>
  <si>
    <t>62515</t>
  </si>
  <si>
    <t>SCREW, SHOULDER, 1/4 X5/8 , S/S PHILLIPS</t>
  </si>
  <si>
    <t>94045A539</t>
  </si>
  <si>
    <t>64236</t>
  </si>
  <si>
    <t>SPRING MOUNTING KIT, 20 HP, ZP</t>
  </si>
  <si>
    <t>308001-62</t>
  </si>
  <si>
    <t>64282</t>
  </si>
  <si>
    <t>92026</t>
  </si>
  <si>
    <t>ASSY, DRY AIR PURGE</t>
  </si>
  <si>
    <t>DWG. 92026</t>
  </si>
  <si>
    <t>92083</t>
  </si>
  <si>
    <t>ASSY, CONDENSER, CASCADE, 1HP, V6</t>
  </si>
  <si>
    <t>DWG. 92083</t>
  </si>
  <si>
    <t>92167</t>
  </si>
  <si>
    <t>LN2 BOOST ASSY</t>
  </si>
  <si>
    <t>DWG. 92167</t>
  </si>
  <si>
    <t>92222</t>
  </si>
  <si>
    <t>ASSY, CONDENSER/FAN, SHROUD, Z-16</t>
  </si>
  <si>
    <t>DWG. 92222</t>
  </si>
  <si>
    <t>92264</t>
  </si>
  <si>
    <t>WIRING HARNESS, THERMOCOUPLE, TUN II</t>
  </si>
  <si>
    <t>DWG. 92264</t>
  </si>
  <si>
    <t>92305</t>
  </si>
  <si>
    <t>ASSY,GN2 PURGE, ZP-06</t>
  </si>
  <si>
    <t>DWG. 92305</t>
  </si>
  <si>
    <t>92340</t>
  </si>
  <si>
    <t>LN2 BOOST ASSEMBLY, INSTALLATION</t>
  </si>
  <si>
    <t>92342</t>
  </si>
  <si>
    <t>ASSY. DRY AIR PURGE, INSTALLATION, ZP-04</t>
  </si>
  <si>
    <t>92371</t>
  </si>
  <si>
    <t>ASSY,ATOMIZING,RH BOX INSTALL, ZP-44,64</t>
  </si>
  <si>
    <t>92373</t>
  </si>
  <si>
    <t>ASSY, ATOMIZING, RH BOX INSTALL, ZP-8,16,32</t>
  </si>
  <si>
    <t>92374</t>
  </si>
  <si>
    <t>ASSY., REGULATOR, WATER, ZP-04</t>
  </si>
  <si>
    <t>92413</t>
  </si>
  <si>
    <t>BRACKET, OIL LINE</t>
  </si>
  <si>
    <t>DWG. 92413</t>
  </si>
  <si>
    <t>92448</t>
  </si>
  <si>
    <t>ASSY, BOX HUMIDITY, ZH/CTH, DII</t>
  </si>
  <si>
    <t>DWG. 92448</t>
  </si>
  <si>
    <t>92449</t>
  </si>
  <si>
    <t>HUMIDITY,BOX,ASSY,CTH-ALL</t>
  </si>
  <si>
    <t>DWG. 92449</t>
  </si>
  <si>
    <t>92474</t>
  </si>
  <si>
    <t>KIT, VALVE, R-508B, 3.5-3.5-SC</t>
  </si>
  <si>
    <t>92475</t>
  </si>
  <si>
    <t>KIT, VALVE, R-23, 3.5-3.5-SC</t>
  </si>
  <si>
    <t>92476</t>
  </si>
  <si>
    <t>KIT, VALVE, R-508B, 6-6-SC</t>
  </si>
  <si>
    <t>92477</t>
  </si>
  <si>
    <t>KIT, VALVE, R-23, 6-6-SC</t>
  </si>
  <si>
    <t>92487</t>
  </si>
  <si>
    <t>KIT, VALVE, R-508B, 20-20-S</t>
  </si>
  <si>
    <t>92504</t>
  </si>
  <si>
    <t>ASSY, POWER PACK, 3.5-3.5-SC/WC 208-230V</t>
  </si>
  <si>
    <t>92505</t>
  </si>
  <si>
    <t>ASSY, POWER PACK, 3.5-3.5-SC/WC 460V/3PH</t>
  </si>
  <si>
    <t>92512</t>
  </si>
  <si>
    <t>POWER PACK 2-2-H/AC, 208/230V 60HZ</t>
  </si>
  <si>
    <t>92515</t>
  </si>
  <si>
    <t>POWER PACK COMPONENTS 3.5-3.5-SC/AC, 208/230V</t>
  </si>
  <si>
    <t>92517</t>
  </si>
  <si>
    <t>ASSY,POWER PACK,6-6-SC/WC,230-3PH</t>
  </si>
  <si>
    <t>92519</t>
  </si>
  <si>
    <t>ASSY,POWER PACK,6-6-SC/WC,460-3PH</t>
  </si>
  <si>
    <t>92521</t>
  </si>
  <si>
    <t>ASSY,POWER PACK,10-10-SC/WC,460-3PH, ZP-32/44/64</t>
  </si>
  <si>
    <t>92523</t>
  </si>
  <si>
    <t>ASSY,POWER PACK,15-15-SC/WC,460-3PH</t>
  </si>
  <si>
    <t>92524</t>
  </si>
  <si>
    <t>ASSY,POWER PACK,15-SCT/WC,460-3PH</t>
  </si>
  <si>
    <t>92525</t>
  </si>
  <si>
    <t>POWER PACK COMPONENTS 6-6-SC/AC, 208/230V</t>
  </si>
  <si>
    <t>92526</t>
  </si>
  <si>
    <t>POWER PACK COMPONENTS 6-6-SC/AC, 460V</t>
  </si>
  <si>
    <t>92527</t>
  </si>
  <si>
    <t>POWER PACK 2-2-H/AC, 50HZ</t>
  </si>
  <si>
    <t>92589</t>
  </si>
  <si>
    <t>POWER PACK COMPONENTS 3.5-3.5-SC/AC, 460V</t>
  </si>
  <si>
    <t>92624</t>
  </si>
  <si>
    <t>POWER PACK 2-2-H/AC, 380/460V 60HZ</t>
  </si>
  <si>
    <t>92625</t>
  </si>
  <si>
    <t>ASSY, POWER PACK, 20-20-S/WC,ZP</t>
  </si>
  <si>
    <t>92626</t>
  </si>
  <si>
    <t>ASSY, POWER PACK, 2 - H/AC, 230, 1PH</t>
  </si>
  <si>
    <t>92627</t>
  </si>
  <si>
    <t>ASSY, POWER PACK,6-6-SC/WC,460-3PH, ZP-8</t>
  </si>
  <si>
    <t>92628</t>
  </si>
  <si>
    <t>ASSY,POWER PACK,6-6-SC/WC,230-3PH, ZP-8</t>
  </si>
  <si>
    <t>92660</t>
  </si>
  <si>
    <t>ASSY,PWR PACK,10-10-SC/WC,460-3PH, ZP-16</t>
  </si>
  <si>
    <t>92833</t>
  </si>
  <si>
    <t>ASSY., COND CASCADE, FOAM, 1-1.5 HP</t>
  </si>
  <si>
    <t>DWG. 92833</t>
  </si>
  <si>
    <t>92845</t>
  </si>
  <si>
    <t>ASSY, CONDENSER, CASCADE, 3HP</t>
  </si>
  <si>
    <t>DWG. 92845</t>
  </si>
  <si>
    <t>92970</t>
  </si>
  <si>
    <t>ASSEMBLY, GRAVITY VENT</t>
  </si>
  <si>
    <t>DWG. 92970</t>
  </si>
  <si>
    <t>P159636</t>
  </si>
  <si>
    <t>VERITCAL FAN MOTOR, 115V, 1-PHASE (60/50HZ) [USED ON 575V COMP.]</t>
  </si>
  <si>
    <t>998-0550-02</t>
  </si>
  <si>
    <t>P88391</t>
  </si>
  <si>
    <t>EVAPORATOR, CASCADE - MP2H (14676-FC00)</t>
  </si>
  <si>
    <t>20.00 X 32.00-8R-38/72</t>
  </si>
  <si>
    <t>P88391-51H</t>
  </si>
  <si>
    <t>DISTRIBUTOR, LIQUID REFRIGERANT - 12 FEEDS</t>
  </si>
  <si>
    <t>P88391-51L</t>
  </si>
  <si>
    <t>DISTRIBUTOR, LIQUID REFRIGERANT - 8  FEEDS</t>
  </si>
  <si>
    <t>'7-4-8</t>
  </si>
  <si>
    <t>P88391-H51</t>
  </si>
  <si>
    <t>'7-4-10</t>
  </si>
  <si>
    <t>SEE ELECT-102</t>
  </si>
  <si>
    <t>PRESSURE TRANSDUCER</t>
  </si>
  <si>
    <t>P528-150-A-C2A</t>
  </si>
  <si>
    <t>SEE ELECT-92A</t>
  </si>
  <si>
    <t>THERMOCOUPLE, STRANDED, TYPE T, DISCHARGE - WIRED TO 8-INST</t>
  </si>
  <si>
    <t>SEE ELECT-92B</t>
  </si>
  <si>
    <t>CONTROLLER, PROCESS LIMIT - LOCATED IN ELECTRICAL ENCLOSURE</t>
  </si>
  <si>
    <t>FDC-L914111</t>
  </si>
  <si>
    <t>36080</t>
  </si>
  <si>
    <t>CONTACTOR, 65A</t>
  </si>
  <si>
    <t>XTCE065D00A</t>
  </si>
  <si>
    <t>POLTE</t>
  </si>
  <si>
    <t>POLYMER TECHNOLOGIES INC.</t>
  </si>
  <si>
    <t>S12-24</t>
  </si>
  <si>
    <t>S22D-30</t>
  </si>
  <si>
    <t>OBSOLETE, HEAT EXCHANGER,CAS COND,6HP,ZP</t>
  </si>
  <si>
    <t>S22D-44</t>
  </si>
  <si>
    <t>GBH-UL-200H-20</t>
  </si>
  <si>
    <t>S12-70</t>
  </si>
  <si>
    <t>S82D-90</t>
  </si>
  <si>
    <t>S82D-50</t>
  </si>
  <si>
    <t>S82D-70</t>
  </si>
  <si>
    <t>S09H-24</t>
  </si>
  <si>
    <t>S12-44</t>
  </si>
  <si>
    <t>S22-24</t>
  </si>
  <si>
    <t>S22-34</t>
  </si>
  <si>
    <t>S22-50</t>
  </si>
  <si>
    <t>INS012024</t>
  </si>
  <si>
    <t>OBS,INSULATION KIT, CASCADE COND. 3.5HP,</t>
  </si>
  <si>
    <t>INS02250</t>
  </si>
  <si>
    <t>INS082050</t>
  </si>
  <si>
    <t>INS082070</t>
  </si>
  <si>
    <t>INS082090</t>
  </si>
  <si>
    <t>02122</t>
  </si>
  <si>
    <t>R-410A HEAT EXCHANGER, DESUPRHEATR 3.5HP</t>
  </si>
  <si>
    <t>SO6H-20</t>
  </si>
  <si>
    <t>02156-INT</t>
  </si>
  <si>
    <t>CONDENSER, WATER COOLED, INTEL</t>
  </si>
  <si>
    <t>S202-90</t>
  </si>
  <si>
    <t>02157-INT</t>
  </si>
  <si>
    <t>CONDENSER, CASCADE, INTEL</t>
  </si>
  <si>
    <t>S202D-110</t>
  </si>
  <si>
    <t>02158-INT</t>
  </si>
  <si>
    <t>HEAT EXCHANGER, D02TS, INTEL</t>
  </si>
  <si>
    <t>S182HD-86-3003</t>
  </si>
  <si>
    <t>02159-INT</t>
  </si>
  <si>
    <t>HEAT EXCHANGER - GAS , INTEL</t>
  </si>
  <si>
    <t>S12-54</t>
  </si>
  <si>
    <t>24118</t>
  </si>
  <si>
    <t>DRIP PAN,COMPRESSOR,3-6 HP SEMI HERMATIC</t>
  </si>
  <si>
    <t>DWG. 24118</t>
  </si>
  <si>
    <t>00016</t>
  </si>
  <si>
    <t>CONDENSER, AIR COOLED,</t>
  </si>
  <si>
    <t>3CZ1004B-30 X 19</t>
  </si>
  <si>
    <t>80300</t>
  </si>
  <si>
    <t>VTS-1.0-2.2-H/AC (208-230V)</t>
  </si>
  <si>
    <t>00267</t>
  </si>
  <si>
    <t>COIL, FIN, EVAPORATOR, VTS-1</t>
  </si>
  <si>
    <t>7.00 X 18.00-4R-38/120</t>
  </si>
  <si>
    <t>22102</t>
  </si>
  <si>
    <t>SHROUD, VTS-1.0</t>
  </si>
  <si>
    <t>19610</t>
  </si>
  <si>
    <t>BASE PAN, VTS 1.0</t>
  </si>
  <si>
    <t>80302</t>
  </si>
  <si>
    <t>VTS-3.0-6-6-SC/AC (460V)</t>
  </si>
  <si>
    <t>80304</t>
  </si>
  <si>
    <t>VTS-3.0-6-6-SC/AC (230V)</t>
  </si>
  <si>
    <t>00269</t>
  </si>
  <si>
    <t>CONDENSER, AIR-COOLED, VTS-3.0</t>
  </si>
  <si>
    <t>22103</t>
  </si>
  <si>
    <t>SHROUD, VTS-3.0</t>
  </si>
  <si>
    <t>80301</t>
  </si>
  <si>
    <t>VTS-3.0-6-6-SC/WC (460V)</t>
  </si>
  <si>
    <t>80303</t>
  </si>
  <si>
    <t>VTS-3.0-6-6-SC/WC (230V)</t>
  </si>
  <si>
    <t>92661</t>
  </si>
  <si>
    <t>ASSY,PWR PACK,10-SCT/WC,460-3PH, ZP-16</t>
  </si>
  <si>
    <t>92522</t>
  </si>
  <si>
    <t>ASSY,POWER PACK,10-SCT/WC,460-3PH</t>
  </si>
  <si>
    <t>03511</t>
  </si>
  <si>
    <t>RECEIVER,LIQ,5 X 10,6LB,SWEAT CON,CE</t>
  </si>
  <si>
    <t>19662</t>
  </si>
  <si>
    <t>BASE PAN, ZP-16, 10 HP TUNDRA</t>
  </si>
  <si>
    <t>92931</t>
  </si>
  <si>
    <t>37083</t>
  </si>
  <si>
    <t>92939</t>
  </si>
  <si>
    <t>37039</t>
  </si>
  <si>
    <t>22114</t>
  </si>
  <si>
    <t>19607</t>
  </si>
  <si>
    <t>19161</t>
  </si>
  <si>
    <t>46078</t>
  </si>
  <si>
    <t>00264</t>
  </si>
  <si>
    <t>START KIT, COMPRESSOR, HERMETIC</t>
  </si>
  <si>
    <t>514-3277-30</t>
  </si>
  <si>
    <t>ASSY, BASE, MC-3-1-1, 230/50</t>
  </si>
  <si>
    <t>START KIT, COMPRESSOR, HERMETIC, 1 HP</t>
  </si>
  <si>
    <t>514-3277-31</t>
  </si>
  <si>
    <t>SHROUD, CONDENSER, MC-3-1-1</t>
  </si>
  <si>
    <t>BASE PAN, MC-3-1-1</t>
  </si>
  <si>
    <t>1 PC BRACKET KIT, TUNDRA UNITS</t>
  </si>
  <si>
    <t>527-C001-00</t>
  </si>
  <si>
    <t>COIL, WET, MCH-3</t>
  </si>
  <si>
    <t>ASSY, BASE, MC-3-1-1, 230/60</t>
  </si>
  <si>
    <t>92630</t>
  </si>
  <si>
    <t>92518</t>
  </si>
  <si>
    <t>92629</t>
  </si>
  <si>
    <t>92520</t>
  </si>
  <si>
    <t>00207</t>
  </si>
  <si>
    <t>CONDENSING UNIT,0.5HP, 230,1PH,50 HZ</t>
  </si>
  <si>
    <t>M2FH-A056-IA2-303</t>
  </si>
  <si>
    <t>04224</t>
  </si>
  <si>
    <t>VALVE, T.E.V., R-134A, 1/4 TON</t>
  </si>
  <si>
    <t>EFJE-1/4-C</t>
  </si>
  <si>
    <t>19621</t>
  </si>
  <si>
    <t>BASE PAN, ST-52</t>
  </si>
  <si>
    <t>00203</t>
  </si>
  <si>
    <t>COIL, FIN, EVAPORATOR, STH-52 &amp; STH- 82</t>
  </si>
  <si>
    <t>ASSY,POWER PACK,6-SCT/WC,230-3PH, ZP-8</t>
  </si>
  <si>
    <t>ASSY,POWER PACK,6-SCT/WC,230-3PH</t>
  </si>
  <si>
    <t>ASSY,POWER PACK,6-SCT/WC,460-3PH, ZP-8</t>
  </si>
  <si>
    <t>ASSY,POWER PACK,6-SCT/WC,460-3PH</t>
  </si>
  <si>
    <t>00280</t>
  </si>
  <si>
    <t>CONDENSING, UNIT, .56HP, 230V, 60Hz</t>
  </si>
  <si>
    <t>M2FH-A056-IAV-103</t>
  </si>
  <si>
    <t>REFRIGERATION BILL OF MATERIALS</t>
  </si>
  <si>
    <t>19606</t>
  </si>
  <si>
    <t>BASE PAN, MC, .33 - .33 AND .5 - .5</t>
  </si>
  <si>
    <t>46082</t>
  </si>
  <si>
    <t>STAND, COMPRESSOR, MC-3</t>
  </si>
  <si>
    <t>19173</t>
  </si>
  <si>
    <t>BRACKET, MOUNTING,LINE SUPPORT,Z-PLUS</t>
  </si>
  <si>
    <t>DWG. 19173</t>
  </si>
  <si>
    <t>92528</t>
  </si>
  <si>
    <t>ASSY,POWER PACK,6-SCT/AC,230V-3PH</t>
  </si>
  <si>
    <t>92529</t>
  </si>
  <si>
    <t>ASSY,POWER PACK,6-SCT/AC,460V-3PH</t>
  </si>
  <si>
    <t>19641</t>
  </si>
  <si>
    <t>BASEPAN, ZP-6-SCT/AC</t>
  </si>
  <si>
    <t>19121</t>
  </si>
  <si>
    <t>OBS., THERMOSTAT BRACKET (OR), WA133</t>
  </si>
  <si>
    <t>CEEMO INC.</t>
  </si>
  <si>
    <t>UNITED REFRIGERATION INC.</t>
  </si>
  <si>
    <t>ALFA LAVAL</t>
  </si>
  <si>
    <t>WATTS REGULATOR</t>
  </si>
  <si>
    <t>SWAGELOK CINCINNATI</t>
  </si>
  <si>
    <t>REFFLEX N.A. (NORTH AMERICA), LLC</t>
  </si>
  <si>
    <t>TRULY TUBULAR FITTING CORP.</t>
  </si>
  <si>
    <t>DYNALENE HEAT TRANSFER</t>
  </si>
  <si>
    <t>GEXPRO</t>
  </si>
  <si>
    <t>05460-102</t>
  </si>
  <si>
    <t>VALVE, DISCHARGE SERVICE - 1"-14 THREAD TO 1/2" SWEAT</t>
  </si>
  <si>
    <t>998-0510-98</t>
  </si>
  <si>
    <t>04059</t>
  </si>
  <si>
    <t>STRAINER,1 1/14IN HPT FRAME,20 MESH</t>
  </si>
  <si>
    <t>43935K26</t>
  </si>
  <si>
    <t>05460-115</t>
  </si>
  <si>
    <t>VALVE, SUCTION SERVICE - 1-1/4"-12 THREAD TO 7/8" SWEAT</t>
  </si>
  <si>
    <t>37416</t>
  </si>
  <si>
    <t>HEATER, 2KW,240V,FIREROD</t>
  </si>
  <si>
    <t>L8AX260B</t>
  </si>
  <si>
    <t>19261</t>
  </si>
  <si>
    <t>BOILER, ROUND,REMOTE FLOAT,W/O OVERFLOW</t>
  </si>
  <si>
    <t>VALVE,TEV,R508B,3 TON,SWEAT CONN</t>
  </si>
  <si>
    <t>05460-202</t>
  </si>
  <si>
    <t>05460-215</t>
  </si>
  <si>
    <t>S82-90</t>
  </si>
  <si>
    <t>FBEE-2-GP35.</t>
  </si>
  <si>
    <t>FBEE-3-GP35.</t>
  </si>
  <si>
    <t>RH1248AC</t>
  </si>
  <si>
    <t>11205</t>
  </si>
  <si>
    <t>ELBOW,PIPE,BRASS,REG 90D 1/4</t>
  </si>
  <si>
    <t>P-100X-B</t>
  </si>
  <si>
    <t>56191</t>
  </si>
  <si>
    <t>PAINT,SPRAY,EASTERN GRAY</t>
  </si>
  <si>
    <t>F77XXA5534</t>
  </si>
  <si>
    <t>18156</t>
  </si>
  <si>
    <t>FITTING, REDUCER, F/S 7/8 X 1/2</t>
  </si>
  <si>
    <t>W01327</t>
  </si>
  <si>
    <t>31158</t>
  </si>
  <si>
    <t>RHI 970-022 3/4 90D CONN</t>
  </si>
  <si>
    <t>PS0759NBK</t>
  </si>
  <si>
    <t>50535</t>
  </si>
  <si>
    <t>INSULATION, 1.5 THICK, 24  X 48  SHEET,</t>
  </si>
  <si>
    <t>PMF-075-HS35RAF/PMF-050/PLE-02</t>
  </si>
  <si>
    <t>12213</t>
  </si>
  <si>
    <t>NIPPLE,PIPE,BRASS 1/4 NPT X 21/2  LONG</t>
  </si>
  <si>
    <t>4568K134</t>
  </si>
  <si>
    <t>57018</t>
  </si>
  <si>
    <t>REFRIGERANT, R-23, 70LB,CYLNDER</t>
  </si>
  <si>
    <t>08057</t>
  </si>
  <si>
    <t>FITTING,HOSE,MALE,BRASS 1/2MPT X 3/8H</t>
  </si>
  <si>
    <t>P-201A-6D</t>
  </si>
  <si>
    <t>50044</t>
  </si>
  <si>
    <t>CLAMP, 5/8 INSULATED, 1 HOLE</t>
  </si>
  <si>
    <t>WAYTEK INC.</t>
  </si>
  <si>
    <t>25110</t>
  </si>
  <si>
    <t>04330</t>
  </si>
  <si>
    <t>Code</t>
  </si>
  <si>
    <t>Voltage</t>
  </si>
  <si>
    <t>Phase</t>
  </si>
  <si>
    <t>Hz</t>
  </si>
  <si>
    <t>A</t>
  </si>
  <si>
    <t>115</t>
  </si>
  <si>
    <t>1</t>
  </si>
  <si>
    <t>60</t>
  </si>
  <si>
    <t>B</t>
  </si>
  <si>
    <t>200</t>
  </si>
  <si>
    <t>50</t>
  </si>
  <si>
    <t>C</t>
  </si>
  <si>
    <t>200-220</t>
  </si>
  <si>
    <t>D</t>
  </si>
  <si>
    <t>3</t>
  </si>
  <si>
    <t>E</t>
  </si>
  <si>
    <t>200-240</t>
  </si>
  <si>
    <t>F</t>
  </si>
  <si>
    <t>200-230</t>
  </si>
  <si>
    <t>G</t>
  </si>
  <si>
    <t>208-230</t>
  </si>
  <si>
    <t>H</t>
  </si>
  <si>
    <t>J</t>
  </si>
  <si>
    <t>220-240</t>
  </si>
  <si>
    <t>K</t>
  </si>
  <si>
    <t>230</t>
  </si>
  <si>
    <t>L</t>
  </si>
  <si>
    <t>380</t>
  </si>
  <si>
    <t>M</t>
  </si>
  <si>
    <t>380-420</t>
  </si>
  <si>
    <t>N</t>
  </si>
  <si>
    <t>P</t>
  </si>
  <si>
    <t>415</t>
  </si>
  <si>
    <t>Q</t>
  </si>
  <si>
    <t>460</t>
  </si>
  <si>
    <t>R</t>
  </si>
  <si>
    <t>500</t>
  </si>
  <si>
    <t>S</t>
  </si>
  <si>
    <t>575</t>
  </si>
  <si>
    <t>Selection List</t>
  </si>
  <si>
    <t>VALVE, BY-PASS, 100/290, 7/8 IN ODF</t>
  </si>
  <si>
    <t>X43-ORI-10-100/290H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</si>
</sst>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\ General"/>
    <numFmt numFmtId="165" formatCode="&quot;$&quot;#,##0.00"/>
  </numFmts>
  <fonts count="9" x14ac:knownFonts="1">
    <font>
      <sz val="10"/>
      <name val="Arial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sz val="8"/>
      <name val="Arial Narrow"/>
      <family val="2"/>
    </font>
    <font>
      <b/>
      <sz val="8"/>
      <name val="Arial Black"/>
      <family val="2"/>
    </font>
    <font>
      <b/>
      <sz val="14"/>
      <name val="Arial Black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9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double">
        <color auto="1"/>
      </top>
      <bottom/>
      <diagonal/>
    </border>
    <border>
      <left style="hair">
        <color auto="1"/>
      </left>
      <right/>
      <top style="double">
        <color auto="1"/>
      </top>
      <bottom/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57">
    <xf numFmtId="0" fontId="0" fillId="0" borderId="0" xfId="0"/>
    <xf numFmtId="165" fontId="2" fillId="0" borderId="0" xfId="0" applyNumberFormat="1" applyFont="1"/>
    <xf numFmtId="0" fontId="2" fillId="0" borderId="0" xfId="0" applyFont="1"/>
    <xf numFmtId="0" fontId="2" fillId="0" borderId="0" xfId="0" applyNumberFormat="1" applyFont="1" applyAlignment="1"/>
    <xf numFmtId="164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 applyBorder="1" applyAlignment="1">
      <alignment horizontal="left"/>
    </xf>
    <xf numFmtId="0" fontId="2" fillId="0" borderId="0" xfId="0" applyNumberFormat="1" applyFont="1" applyBorder="1" applyAlignment="1"/>
    <xf numFmtId="0" fontId="1" fillId="0" borderId="0" xfId="0" applyFont="1" applyAlignment="1"/>
    <xf numFmtId="49" fontId="2" fillId="0" borderId="0" xfId="0" applyNumberFormat="1" applyFont="1" applyFill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/>
    <xf numFmtId="0" fontId="2" fillId="0" borderId="0" xfId="0" applyFont="1" applyAlignment="1"/>
    <xf numFmtId="0" fontId="2" fillId="0" borderId="1" xfId="0" quotePrefix="1" applyFont="1" applyBorder="1" applyAlignment="1"/>
    <xf numFmtId="0" fontId="2" fillId="0" borderId="1" xfId="0" applyFont="1" applyBorder="1" applyAlignment="1"/>
    <xf numFmtId="0" fontId="3" fillId="0" borderId="0" xfId="0" applyNumberFormat="1" applyFont="1" applyBorder="1" applyAlignment="1"/>
    <xf numFmtId="0" fontId="4" fillId="0" borderId="0" xfId="0" applyNumberFormat="1" applyFont="1" applyAlignment="1"/>
    <xf numFmtId="0" fontId="3" fillId="0" borderId="0" xfId="0" applyFont="1" applyAlignment="1">
      <alignment horizontal="left"/>
    </xf>
    <xf numFmtId="49" fontId="2" fillId="0" borderId="5" xfId="0" applyNumberFormat="1" applyFont="1" applyFill="1" applyBorder="1" applyAlignment="1"/>
    <xf numFmtId="49" fontId="3" fillId="0" borderId="5" xfId="0" applyNumberFormat="1" applyFont="1" applyFill="1" applyBorder="1" applyAlignment="1"/>
    <xf numFmtId="49" fontId="3" fillId="0" borderId="0" xfId="0" applyNumberFormat="1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2" fillId="0" borderId="1" xfId="0" quotePrefix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0" xfId="0" applyNumberFormat="1" applyFont="1"/>
    <xf numFmtId="0" fontId="3" fillId="0" borderId="0" xfId="2" applyFont="1" applyAlignment="1">
      <alignment horizontal="left"/>
    </xf>
    <xf numFmtId="14" fontId="0" fillId="0" borderId="0" xfId="0" applyNumberFormat="1"/>
    <xf numFmtId="0" fontId="3" fillId="0" borderId="0" xfId="0" applyFont="1" applyBorder="1" applyAlignment="1">
      <alignment horizontal="left"/>
    </xf>
    <xf numFmtId="0" fontId="4" fillId="0" borderId="6" xfId="0" applyFont="1" applyBorder="1" applyAlignment="1">
      <alignment horizontal="center"/>
    </xf>
    <xf numFmtId="49" fontId="3" fillId="0" borderId="0" xfId="0" applyNumberFormat="1" applyFont="1" applyFill="1" applyAlignment="1">
      <alignment horizontal="left"/>
    </xf>
    <xf numFmtId="0" fontId="3" fillId="0" borderId="0" xfId="0" applyFont="1" applyBorder="1" applyAlignment="1">
      <alignment horizontal="left"/>
    </xf>
    <xf numFmtId="49" fontId="3" fillId="0" borderId="0" xfId="0" applyNumberFormat="1" applyFont="1" applyFill="1" applyAlignment="1">
      <alignment horizontal="left"/>
    </xf>
    <xf numFmtId="0" fontId="4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49" fontId="3" fillId="0" borderId="0" xfId="2" applyNumberFormat="1" applyFont="1" applyFill="1" applyAlignment="1">
      <alignment horizontal="left"/>
    </xf>
    <xf numFmtId="0" fontId="3" fillId="0" borderId="0" xfId="2" applyFont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0" xfId="0" applyNumberFormat="1" applyFont="1" applyFill="1" applyAlignment="1">
      <alignment horizontal="left"/>
    </xf>
    <xf numFmtId="49" fontId="3" fillId="2" borderId="4" xfId="0" applyNumberFormat="1" applyFont="1" applyFill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3" fillId="2" borderId="4" xfId="0" applyNumberFormat="1" applyFont="1" applyFill="1" applyBorder="1" applyAlignment="1">
      <alignment horizontal="left"/>
    </xf>
    <xf numFmtId="49" fontId="2" fillId="2" borderId="4" xfId="0" applyNumberFormat="1" applyFont="1" applyFill="1" applyBorder="1" applyAlignment="1">
      <alignment horizontal="left"/>
    </xf>
    <xf numFmtId="49" fontId="4" fillId="0" borderId="7" xfId="0" applyNumberFormat="1" applyFont="1" applyFill="1" applyBorder="1" applyAlignment="1">
      <alignment horizontal="center"/>
    </xf>
    <xf numFmtId="49" fontId="4" fillId="0" borderId="6" xfId="0" applyNumberFormat="1" applyFont="1" applyFill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/>
    <xf numFmtId="0" fontId="4" fillId="0" borderId="2" xfId="0" applyFont="1" applyBorder="1" applyAlignment="1"/>
    <xf numFmtId="0" fontId="4" fillId="0" borderId="6" xfId="0" applyFont="1" applyBorder="1" applyAlignment="1"/>
    <xf numFmtId="0" fontId="4" fillId="0" borderId="7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5" fillId="0" borderId="0" xfId="0" applyFont="1" applyAlignment="1">
      <alignment horizontal="center"/>
    </xf>
    <xf numFmtId="49" fontId="3" fillId="2" borderId="3" xfId="0" applyNumberFormat="1" applyFont="1" applyFill="1" applyBorder="1" applyAlignment="1">
      <alignment horizontal="left"/>
    </xf>
    <xf numFmtId="0" fontId="3" fillId="0" borderId="0" xfId="0" applyNumberFormat="1" applyFont="1" applyAlignment="1">
      <alignment horizontal="left"/>
    </xf>
    <xf numFmtId="0" fontId="3" fillId="2" borderId="3" xfId="0" applyNumberFormat="1" applyFont="1" applyFill="1" applyBorder="1" applyAlignment="1">
      <alignment horizontal="left"/>
    </xf>
  </cellXfs>
  <cellStyles count="3">
    <cellStyle name="Normal" xfId="0" builtinId="0"/>
    <cellStyle name="Normal 2" xfId="2"/>
    <cellStyle name="Normal 3" xfId="1"/>
  </cellStyles>
  <dxfs count="9"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m/d/yyyy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0</xdr:rowOff>
        </xdr:from>
        <xdr:to>
          <xdr:col>16</xdr:col>
          <xdr:colOff>600075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to Visual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4</xdr:row>
          <xdr:rowOff>0</xdr:rowOff>
        </xdr:from>
        <xdr:to>
          <xdr:col>16</xdr:col>
          <xdr:colOff>600075</xdr:colOff>
          <xdr:row>6</xdr:row>
          <xdr:rowOff>9525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Reference BoM (old template)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</xdr:row>
          <xdr:rowOff>0</xdr:rowOff>
        </xdr:from>
        <xdr:to>
          <xdr:col>19</xdr:col>
          <xdr:colOff>600075</xdr:colOff>
          <xdr:row>3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from Visual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</xdr:row>
          <xdr:rowOff>0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Make Static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1</xdr:row>
          <xdr:rowOff>0</xdr:rowOff>
        </xdr:from>
        <xdr:to>
          <xdr:col>25</xdr:col>
          <xdr:colOff>600075</xdr:colOff>
          <xdr:row>3</xdr:row>
          <xdr:rowOff>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Convert Markup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22</xdr:col>
          <xdr:colOff>600075</xdr:colOff>
          <xdr:row>6</xdr:row>
          <xdr:rowOff>9525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EC BoM Markup 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(old template)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0</xdr:rowOff>
        </xdr:from>
        <xdr:to>
          <xdr:col>19</xdr:col>
          <xdr:colOff>600075</xdr:colOff>
          <xdr:row>6</xdr:row>
          <xdr:rowOff>9525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Reference BoM (new template)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0</xdr:rowOff>
        </xdr:from>
        <xdr:to>
          <xdr:col>28</xdr:col>
          <xdr:colOff>600075</xdr:colOff>
          <xdr:row>6</xdr:row>
          <xdr:rowOff>9525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EC BoM Markup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4</xdr:row>
          <xdr:rowOff>0</xdr:rowOff>
        </xdr:from>
        <xdr:to>
          <xdr:col>25</xdr:col>
          <xdr:colOff>600075</xdr:colOff>
          <xdr:row>6</xdr:row>
          <xdr:rowOff>9525</xdr:rowOff>
        </xdr:to>
        <xdr:sp macro="" textlink="">
          <xdr:nvSpPr>
            <xdr:cNvPr id="9234" name="Button 18" hidden="1">
              <a:extLst>
                <a:ext uri="{63B3BB69-23CF-44E3-9099-C40C66FF867C}">
                  <a14:compatExt spid="_x0000_s9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EC BoM Markup 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(new template)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0</xdr:rowOff>
        </xdr:from>
        <xdr:to>
          <xdr:col>16</xdr:col>
          <xdr:colOff>600075</xdr:colOff>
          <xdr:row>3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to Visual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4</xdr:row>
          <xdr:rowOff>0</xdr:rowOff>
        </xdr:from>
        <xdr:to>
          <xdr:col>16</xdr:col>
          <xdr:colOff>600075</xdr:colOff>
          <xdr:row>6</xdr:row>
          <xdr:rowOff>9525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Reference BoM (old template)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</xdr:row>
          <xdr:rowOff>0</xdr:rowOff>
        </xdr:from>
        <xdr:to>
          <xdr:col>19</xdr:col>
          <xdr:colOff>600075</xdr:colOff>
          <xdr:row>3</xdr:row>
          <xdr:rowOff>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from Visual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</xdr:row>
          <xdr:rowOff>0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Make Static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1</xdr:row>
          <xdr:rowOff>0</xdr:rowOff>
        </xdr:from>
        <xdr:to>
          <xdr:col>25</xdr:col>
          <xdr:colOff>600075</xdr:colOff>
          <xdr:row>3</xdr:row>
          <xdr:rowOff>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Convert Markup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22</xdr:col>
          <xdr:colOff>600075</xdr:colOff>
          <xdr:row>6</xdr:row>
          <xdr:rowOff>9525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EC BoM Markup 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(old template)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0</xdr:rowOff>
        </xdr:from>
        <xdr:to>
          <xdr:col>19</xdr:col>
          <xdr:colOff>600075</xdr:colOff>
          <xdr:row>6</xdr:row>
          <xdr:rowOff>9525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Reference BoM (new template)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0</xdr:rowOff>
        </xdr:from>
        <xdr:to>
          <xdr:col>28</xdr:col>
          <xdr:colOff>600075</xdr:colOff>
          <xdr:row>6</xdr:row>
          <xdr:rowOff>9525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EC BoM Markup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4</xdr:row>
          <xdr:rowOff>0</xdr:rowOff>
        </xdr:from>
        <xdr:to>
          <xdr:col>25</xdr:col>
          <xdr:colOff>600075</xdr:colOff>
          <xdr:row>6</xdr:row>
          <xdr:rowOff>9525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EC BoM Markup 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(new template)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Refrigeration Data_1" refreshOnLoad="1" connectionId="1" autoFormatId="16" applyNumberFormats="0" applyBorderFormats="0" applyFontFormats="0" applyPatternFormats="0" applyAlignmentFormats="0" applyWidthHeightFormats="0">
  <queryTableRefresh nextId="10">
    <queryTableFields count="9">
      <queryTableField id="1" name="ID" tableColumnId="1"/>
      <queryTableField id="2" name="ID Number" tableColumnId="2"/>
      <queryTableField id="3" name="Description" tableColumnId="3"/>
      <queryTableField id="4" name="Vendor Name" tableColumnId="4"/>
      <queryTableField id="5" name="Vendor Part Number" tableColumnId="5"/>
      <queryTableField id="6" name="Material Cost" tableColumnId="6"/>
      <queryTableField id="7" name="Vendor ID" tableColumnId="7"/>
      <queryTableField id="8" name="Specification Sheet" tableColumnId="8"/>
      <queryTableField id="9" name="Price Updated (Date)" tableColumnId="9"/>
    </queryTableFields>
  </queryTableRefresh>
</queryTable>
</file>

<file path=xl/queryTables/queryTable2.xml><?xml version="1.0" encoding="utf-8"?>
<queryTable xmlns="http://schemas.openxmlformats.org/spreadsheetml/2006/main" name="Refrigeration Data" refreshOnLoad="1" connectionId="2" autoFormatId="16" applyNumberFormats="0" applyBorderFormats="0" applyFontFormats="0" applyPatternFormats="0" applyAlignmentFormats="0" applyWidthHeightFormats="0">
  <queryTableRefresh nextId="8">
    <queryTableFields count="5">
      <queryTableField id="1" name="ID" tableColumnId="1"/>
      <queryTableField id="4" name="Code" tableColumnId="2"/>
      <queryTableField id="5" name="Voltage" tableColumnId="3"/>
      <queryTableField id="6" name="Phase" tableColumnId="4"/>
      <queryTableField id="7" name="Hz" tableColumnId="5"/>
    </queryTableFields>
  </queryTableRefresh>
</queryTable>
</file>

<file path=xl/queryTables/queryTable3.xml><?xml version="1.0" encoding="utf-8"?>
<queryTable xmlns="http://schemas.openxmlformats.org/spreadsheetml/2006/main" name="Refrigeration Data" connectionId="2" autoFormatId="16" applyNumberFormats="0" applyBorderFormats="0" applyFontFormats="0" applyPatternFormats="0" applyAlignmentFormats="0" applyWidthHeightFormats="0">
  <queryTableRefresh nextId="7" unboundColumnsRight="1">
    <queryTableFields count="6">
      <queryTableField id="1" name="ID" tableColumnId="1"/>
      <queryTableField id="2" name="Code" tableColumnId="2"/>
      <queryTableField id="3" name="Voltage" tableColumnId="3"/>
      <queryTableField id="4" name="Phase" tableColumnId="4"/>
      <queryTableField id="5" name="Hz" tableColumnId="5"/>
      <queryTableField id="6" dataBound="0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Table_Refrigeration_Data_1" displayName="Table_Refrigeration_Data_1" ref="A1:I1567" tableType="queryTable" totalsRowShown="0">
  <autoFilter ref="A1:I1567"/>
  <tableColumns count="9">
    <tableColumn id="1" uniqueName="1" name="ID" queryTableFieldId="1"/>
    <tableColumn id="2" uniqueName="2" name="ID Number" queryTableFieldId="2"/>
    <tableColumn id="3" uniqueName="3" name="Description" queryTableFieldId="3"/>
    <tableColumn id="4" uniqueName="4" name="Vendor Name" queryTableFieldId="4"/>
    <tableColumn id="5" uniqueName="5" name="Vendor Part Number" queryTableFieldId="5"/>
    <tableColumn id="6" uniqueName="6" name="Material Cost" queryTableFieldId="6"/>
    <tableColumn id="7" uniqueName="7" name="Vendor ID" queryTableFieldId="7"/>
    <tableColumn id="8" uniqueName="8" name="Specification Sheet" queryTableFieldId="8"/>
    <tableColumn id="9" uniqueName="9" name="Price Updated (Date)" queryTableFieldId="9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_Refrigeration_Data4" displayName="Table_Refrigeration_Data4" ref="A1:E18" tableType="queryTable" totalsRowShown="0">
  <autoFilter ref="A1:E18"/>
  <tableColumns count="5">
    <tableColumn id="1" uniqueName="1" name="ID" queryTableFieldId="1"/>
    <tableColumn id="2" uniqueName="2" name="Code" queryTableFieldId="4"/>
    <tableColumn id="3" uniqueName="3" name="Voltage" queryTableFieldId="5"/>
    <tableColumn id="4" uniqueName="4" name="Phase" queryTableFieldId="6"/>
    <tableColumn id="5" uniqueName="5" name="Hz" queryTableField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_Refrigeration_Data" displayName="Table_Refrigeration_Data" ref="A1:F18" tableType="queryTable" totalsRowShown="0" headerRowDxfId="8" dataDxfId="7">
  <autoFilter ref="A1:F18"/>
  <tableColumns count="6">
    <tableColumn id="1" uniqueName="1" name="ID" queryTableFieldId="1" dataDxfId="5"/>
    <tableColumn id="2" uniqueName="2" name="Code" queryTableFieldId="2" dataDxfId="4"/>
    <tableColumn id="3" uniqueName="3" name="Voltage" queryTableFieldId="3" dataDxfId="3"/>
    <tableColumn id="4" uniqueName="4" name="Phase" queryTableFieldId="4" dataDxfId="2"/>
    <tableColumn id="5" uniqueName="5" name="Hz" queryTableFieldId="5" dataDxfId="1"/>
    <tableColumn id="6" uniqueName="6" name="Selection List" queryTableFieldId="6" dataDxfId="0">
      <calculatedColumnFormula>CONCATENATE(Table_Refrigeration_Data[[#This Row],[Voltage]],"/",Table_Refrigeration_Data[[#This Row],[Phase]],"/",Table_Refrigeration_Data[[#This Row],[Hz]])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externalLinkPath" Target="file:///I:\@GMT-2018.05.02-19.05.00\Engineering\Refrigeration\RefData\Refrigeration%20Development\Refrigeration%20BOM%20-%20Template%20(new%20rev).xlsm" TargetMode="External"/><Relationship Id="rId1" Type="http://schemas.openxmlformats.org/officeDocument/2006/relationships/externalLinkPath" Target="file:///I:\@GMT-2018.05.14-14.05.00\Engineering\Refrigeration\RefData\Refrigeration%20Development\Refrigeration%20BOM%20-%20Template%20(new%20rev).xlsm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2" Type="http://schemas.openxmlformats.org/officeDocument/2006/relationships/externalLinkPath" Target="file:///I:\@GMT-2018.05.02-19.05.00\Engineering\Refrigeration\RefData\Refrigeration%20Development\Refrigeration%20BOM%20-%20Template%20(new%20rev).xlsm" TargetMode="External"/><Relationship Id="rId1" Type="http://schemas.openxmlformats.org/officeDocument/2006/relationships/externalLinkPath" Target="file:///I:\@GMT-2018.05.14-14.05.00\Engineering\Refrigeration\RefData\Refrigeration%20Development\Refrigeration%20BOM%20-%20Template%20(new%20rev).xlsm" TargetMode="External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vmlDrawing" Target="../drawings/vmlDrawing2.vml"/><Relationship Id="rId10" Type="http://schemas.openxmlformats.org/officeDocument/2006/relationships/ctrlProp" Target="../ctrlProps/ctrlProp1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13.xml"/><Relationship Id="rId14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V119"/>
  <sheetViews>
    <sheetView tabSelected="1" zoomScaleNormal="100" zoomScaleSheetLayoutView="100" workbookViewId="0">
      <pane ySplit="8" topLeftCell="A9" activePane="bottomLeft" state="frozen"/>
      <selection pane="bottomLeft" activeCell="F27" sqref="F27:H27"/>
    </sheetView>
  </sheetViews>
  <sheetFormatPr defaultRowHeight="11.25" x14ac:dyDescent="0.2"/>
  <cols>
    <col min="1" max="1" width="6.28515625" style="10" customWidth="1"/>
    <col min="2" max="2" width="5.85546875" style="9" customWidth="1"/>
    <col min="3" max="3" width="5.7109375" style="9" customWidth="1"/>
    <col min="4" max="4" width="2.7109375" style="5" customWidth="1"/>
    <col min="5" max="6" width="6.7109375" style="5" customWidth="1"/>
    <col min="7" max="7" width="8" style="5" customWidth="1"/>
    <col min="8" max="8" width="20.5703125" style="2" customWidth="1"/>
    <col min="9" max="12" width="5.7109375" style="2" customWidth="1"/>
    <col min="13" max="13" width="6.42578125" style="2" customWidth="1"/>
    <col min="14" max="14" width="18" style="3" bestFit="1" customWidth="1"/>
    <col min="15" max="15" width="21.140625" style="2" customWidth="1"/>
    <col min="16" max="16" width="9.140625" style="11"/>
    <col min="17" max="18" width="9.140625" style="2"/>
    <col min="19" max="19" width="9.140625" style="11"/>
    <col min="20" max="21" width="9.140625" style="2"/>
    <col min="22" max="22" width="9.140625" style="11"/>
    <col min="23" max="16384" width="9.140625" style="2"/>
  </cols>
  <sheetData>
    <row r="1" spans="1:20" ht="22.5" x14ac:dyDescent="0.45">
      <c r="A1" s="53" t="s">
        <v>4541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8"/>
    </row>
    <row r="2" spans="1:20" ht="13.5" customHeight="1" x14ac:dyDescent="0.25">
      <c r="A2" s="38" t="s">
        <v>6</v>
      </c>
      <c r="B2" s="38"/>
      <c r="C2" s="54"/>
      <c r="D2" s="54"/>
      <c r="E2" s="54"/>
      <c r="F2" s="54"/>
      <c r="G2" s="54"/>
      <c r="H2" s="10"/>
      <c r="I2" s="55" t="s">
        <v>8</v>
      </c>
      <c r="J2" s="55"/>
      <c r="K2" s="56"/>
      <c r="L2" s="56"/>
      <c r="M2" s="56"/>
      <c r="O2" s="4"/>
    </row>
    <row r="3" spans="1:20" ht="12.75" x14ac:dyDescent="0.25">
      <c r="A3" s="38" t="s">
        <v>4</v>
      </c>
      <c r="B3" s="38"/>
      <c r="C3" s="39"/>
      <c r="D3" s="39"/>
      <c r="E3" s="39"/>
      <c r="F3" s="39"/>
      <c r="G3" s="39"/>
      <c r="H3" s="10"/>
      <c r="I3" s="55" t="s">
        <v>5</v>
      </c>
      <c r="J3" s="55"/>
      <c r="K3" s="41"/>
      <c r="L3" s="41"/>
      <c r="M3" s="41"/>
      <c r="O3" s="4"/>
    </row>
    <row r="4" spans="1:20" ht="13.5" customHeight="1" x14ac:dyDescent="0.25">
      <c r="A4" s="38" t="s">
        <v>7</v>
      </c>
      <c r="B4" s="38"/>
      <c r="C4" s="39"/>
      <c r="D4" s="39"/>
      <c r="E4" s="39"/>
      <c r="F4" s="19"/>
      <c r="G4" s="19"/>
      <c r="H4" s="10"/>
      <c r="I4" s="40" t="s">
        <v>9</v>
      </c>
      <c r="J4" s="40"/>
      <c r="K4" s="41"/>
      <c r="L4" s="41"/>
      <c r="M4" s="41"/>
      <c r="O4" s="4"/>
    </row>
    <row r="5" spans="1:20" ht="13.5" customHeight="1" x14ac:dyDescent="0.25">
      <c r="A5" s="38" t="s">
        <v>10</v>
      </c>
      <c r="B5" s="38"/>
      <c r="C5" s="39"/>
      <c r="D5" s="39"/>
      <c r="E5" s="20"/>
      <c r="F5" s="20"/>
      <c r="G5" s="20"/>
      <c r="H5" s="10"/>
      <c r="I5" s="38" t="s">
        <v>10</v>
      </c>
      <c r="J5" s="38"/>
      <c r="K5" s="42"/>
      <c r="L5" s="42"/>
      <c r="M5" s="18"/>
      <c r="O5" s="4"/>
    </row>
    <row r="6" spans="1:20" ht="12" thickBot="1" x14ac:dyDescent="0.25">
      <c r="A6" s="13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2"/>
    </row>
    <row r="7" spans="1:20" ht="14.25" customHeight="1" thickTop="1" x14ac:dyDescent="0.25">
      <c r="A7" s="28" t="s">
        <v>0</v>
      </c>
      <c r="B7" s="43" t="s">
        <v>1</v>
      </c>
      <c r="C7" s="44"/>
      <c r="D7" s="45" t="s">
        <v>2</v>
      </c>
      <c r="E7" s="46"/>
      <c r="F7" s="47" t="s">
        <v>3</v>
      </c>
      <c r="G7" s="48"/>
      <c r="H7" s="49"/>
      <c r="I7" s="50" t="s">
        <v>12</v>
      </c>
      <c r="J7" s="51"/>
      <c r="K7" s="51"/>
      <c r="L7" s="51"/>
      <c r="M7" s="52"/>
      <c r="N7" s="16" t="s">
        <v>13</v>
      </c>
      <c r="Q7" s="1"/>
    </row>
    <row r="8" spans="1:20" ht="2.1" customHeight="1" thickBot="1" x14ac:dyDescent="0.25">
      <c r="A8" s="22"/>
      <c r="B8" s="23"/>
      <c r="C8" s="23"/>
      <c r="D8" s="23"/>
      <c r="E8" s="23"/>
      <c r="F8" s="14"/>
      <c r="G8" s="14"/>
      <c r="H8" s="14"/>
      <c r="I8" s="14"/>
      <c r="J8" s="14"/>
      <c r="K8" s="14"/>
      <c r="L8" s="14"/>
      <c r="M8" s="14"/>
      <c r="N8" s="14"/>
      <c r="O8" s="12"/>
    </row>
    <row r="9" spans="1:20" ht="13.5" customHeight="1" thickTop="1" x14ac:dyDescent="0.25">
      <c r="A9" s="25"/>
      <c r="B9" s="35" t="s">
        <v>14</v>
      </c>
      <c r="C9" s="35"/>
      <c r="D9" s="36"/>
      <c r="E9" s="36"/>
      <c r="F9" s="37" t="str">
        <f>IF(B9="","",VLOOKUP(B9,'Part ID'!B:G,2,FALSE))</f>
        <v/>
      </c>
      <c r="G9" s="37"/>
      <c r="H9" s="37"/>
      <c r="I9" s="37" t="str">
        <f>IF(B9="","",IF(VLOOKUP(B9,'Part ID'!B:G,3,FALSE)="","",VLOOKUP(B9,'Part ID'!B:G,3,FALSE)))</f>
        <v/>
      </c>
      <c r="J9" s="37"/>
      <c r="K9" s="37"/>
      <c r="L9" s="37"/>
      <c r="M9" s="37"/>
      <c r="N9" s="15" t="str">
        <f>IF(B9="","",IF(VLOOKUP(B9,'Part ID'!B:G,4,FALSE)="","",VLOOKUP(B9,'Part ID'!B:G,4,FALSE)))</f>
        <v/>
      </c>
      <c r="P9" s="24"/>
      <c r="Q9" s="24"/>
      <c r="T9" s="2" t="str">
        <f>IF(R9="","",VLOOKUP(R9,'Vendor Data'!F:G,2,FALSE))</f>
        <v/>
      </c>
    </row>
    <row r="10" spans="1:20" ht="13.5" customHeight="1" x14ac:dyDescent="0.25">
      <c r="A10" s="25"/>
      <c r="B10" s="35" t="s">
        <v>14</v>
      </c>
      <c r="C10" s="35"/>
      <c r="D10" s="36"/>
      <c r="E10" s="36"/>
      <c r="F10" s="37" t="str">
        <f>IF(B10="","",VLOOKUP(B10,'Part ID'!B:G,2,FALSE))</f>
        <v/>
      </c>
      <c r="G10" s="37"/>
      <c r="H10" s="37"/>
      <c r="I10" s="37" t="str">
        <f>IF(B10="","",IF(VLOOKUP(B10,'Part ID'!B:G,3,FALSE)="","",VLOOKUP(B10,'Part ID'!B:G,3,FALSE)))</f>
        <v/>
      </c>
      <c r="J10" s="37"/>
      <c r="K10" s="37"/>
      <c r="L10" s="37"/>
      <c r="M10" s="37"/>
      <c r="N10" s="15" t="str">
        <f>IF(B10="","",IF(VLOOKUP(B10,'Part ID'!B:G,4,FALSE)="","",VLOOKUP(B10,'Part ID'!B:G,4,FALSE)))</f>
        <v/>
      </c>
      <c r="P10" s="24"/>
      <c r="Q10" s="24"/>
      <c r="T10" s="2" t="str">
        <f>IF(R10="","",VLOOKUP(R10,'Vendor Data'!F:G,2,FALSE))</f>
        <v/>
      </c>
    </row>
    <row r="11" spans="1:20" ht="13.5" customHeight="1" x14ac:dyDescent="0.25">
      <c r="A11" s="25"/>
      <c r="B11" s="35" t="s">
        <v>14</v>
      </c>
      <c r="C11" s="35"/>
      <c r="D11" s="36"/>
      <c r="E11" s="36"/>
      <c r="F11" s="37" t="str">
        <f>IF(B11="","",VLOOKUP(B11,'Part ID'!B:G,2,FALSE))</f>
        <v/>
      </c>
      <c r="G11" s="37"/>
      <c r="H11" s="37"/>
      <c r="I11" s="37" t="str">
        <f>IF(B11="","",IF(VLOOKUP(B11,'Part ID'!B:G,3,FALSE)="","",VLOOKUP(B11,'Part ID'!B:G,3,FALSE)))</f>
        <v/>
      </c>
      <c r="J11" s="37"/>
      <c r="K11" s="37"/>
      <c r="L11" s="37"/>
      <c r="M11" s="37"/>
      <c r="N11" s="15" t="str">
        <f>IF(B11="","",IF(VLOOKUP(B11,'Part ID'!B:G,4,FALSE)="","",VLOOKUP(B11,'Part ID'!B:G,4,FALSE)))</f>
        <v/>
      </c>
      <c r="P11" s="24"/>
      <c r="Q11" s="24"/>
      <c r="T11" s="2" t="str">
        <f>IF(R11="","",VLOOKUP(R11,'Vendor Data'!F:G,2,FALSE))</f>
        <v/>
      </c>
    </row>
    <row r="12" spans="1:20" ht="13.5" customHeight="1" x14ac:dyDescent="0.25">
      <c r="A12" s="25"/>
      <c r="B12" s="35" t="s">
        <v>14</v>
      </c>
      <c r="C12" s="35"/>
      <c r="D12" s="36"/>
      <c r="E12" s="36"/>
      <c r="F12" s="37" t="str">
        <f>IF(B12="","",VLOOKUP(B12,'Part ID'!B:G,2,FALSE))</f>
        <v/>
      </c>
      <c r="G12" s="37"/>
      <c r="H12" s="37"/>
      <c r="I12" s="37" t="str">
        <f>IF(B12="","",IF(VLOOKUP(B12,'Part ID'!B:G,3,FALSE)="","",VLOOKUP(B12,'Part ID'!B:G,3,FALSE)))</f>
        <v/>
      </c>
      <c r="J12" s="37"/>
      <c r="K12" s="37"/>
      <c r="L12" s="37"/>
      <c r="M12" s="37"/>
      <c r="N12" s="15" t="str">
        <f>IF(B12="","",IF(VLOOKUP(B12,'Part ID'!B:G,4,FALSE)="","",VLOOKUP(B12,'Part ID'!B:G,4,FALSE)))</f>
        <v/>
      </c>
      <c r="P12" s="24"/>
      <c r="Q12" s="24"/>
      <c r="T12" s="2" t="str">
        <f>IF(R12="","",VLOOKUP(R12,'Vendor Data'!F:G,2,FALSE))</f>
        <v/>
      </c>
    </row>
    <row r="13" spans="1:20" ht="13.5" customHeight="1" x14ac:dyDescent="0.25">
      <c r="A13" s="25"/>
      <c r="B13" s="35" t="s">
        <v>14</v>
      </c>
      <c r="C13" s="35"/>
      <c r="D13" s="36"/>
      <c r="E13" s="36"/>
      <c r="F13" s="37" t="str">
        <f>IF(B13="","",VLOOKUP(B13,'Part ID'!B:G,2,FALSE))</f>
        <v/>
      </c>
      <c r="G13" s="37"/>
      <c r="H13" s="37"/>
      <c r="I13" s="37" t="str">
        <f>IF(B13="","",IF(VLOOKUP(B13,'Part ID'!B:G,3,FALSE)="","",VLOOKUP(B13,'Part ID'!B:G,3,FALSE)))</f>
        <v/>
      </c>
      <c r="J13" s="37"/>
      <c r="K13" s="37"/>
      <c r="L13" s="37"/>
      <c r="M13" s="37"/>
      <c r="N13" s="15" t="str">
        <f>IF(B13="","",IF(VLOOKUP(B13,'Part ID'!B:G,4,FALSE)="","",VLOOKUP(B13,'Part ID'!B:G,4,FALSE)))</f>
        <v/>
      </c>
      <c r="P13" s="24"/>
      <c r="Q13" s="24"/>
      <c r="T13" s="2" t="str">
        <f>IF(R13="","",VLOOKUP(R13,'Vendor Data'!F:G,2,FALSE))</f>
        <v/>
      </c>
    </row>
    <row r="14" spans="1:20" ht="13.5" customHeight="1" x14ac:dyDescent="0.25">
      <c r="A14" s="25"/>
      <c r="B14" s="35" t="s">
        <v>14</v>
      </c>
      <c r="C14" s="35"/>
      <c r="D14" s="36"/>
      <c r="E14" s="36"/>
      <c r="F14" s="37" t="str">
        <f>IF(B14="","",VLOOKUP(B14,'Part ID'!B:G,2,FALSE))</f>
        <v/>
      </c>
      <c r="G14" s="37"/>
      <c r="H14" s="37"/>
      <c r="I14" s="37" t="str">
        <f>IF(B14="","",IF(VLOOKUP(B14,'Part ID'!B:G,3,FALSE)="","",VLOOKUP(B14,'Part ID'!B:G,3,FALSE)))</f>
        <v/>
      </c>
      <c r="J14" s="37"/>
      <c r="K14" s="37"/>
      <c r="L14" s="37"/>
      <c r="M14" s="37"/>
      <c r="N14" s="15" t="str">
        <f>IF(B14="","",IF(VLOOKUP(B14,'Part ID'!B:G,4,FALSE)="","",VLOOKUP(B14,'Part ID'!B:G,4,FALSE)))</f>
        <v/>
      </c>
      <c r="P14" s="24"/>
      <c r="Q14" s="24"/>
      <c r="T14" s="2" t="str">
        <f>IF(R14="","",VLOOKUP(R14,'Vendor Data'!F:G,2,FALSE))</f>
        <v/>
      </c>
    </row>
    <row r="15" spans="1:20" ht="13.5" customHeight="1" x14ac:dyDescent="0.25">
      <c r="A15" s="25"/>
      <c r="B15" s="35" t="s">
        <v>14</v>
      </c>
      <c r="C15" s="35"/>
      <c r="D15" s="36"/>
      <c r="E15" s="36"/>
      <c r="F15" s="37" t="str">
        <f>IF(B15="","",VLOOKUP(B15,'Part ID'!B:G,2,FALSE))</f>
        <v/>
      </c>
      <c r="G15" s="37"/>
      <c r="H15" s="37"/>
      <c r="I15" s="37" t="str">
        <f>IF(B15="","",IF(VLOOKUP(B15,'Part ID'!B:G,3,FALSE)="","",VLOOKUP(B15,'Part ID'!B:G,3,FALSE)))</f>
        <v/>
      </c>
      <c r="J15" s="37"/>
      <c r="K15" s="37"/>
      <c r="L15" s="37"/>
      <c r="M15" s="37"/>
      <c r="N15" s="15" t="str">
        <f>IF(B15="","",IF(VLOOKUP(B15,'Part ID'!B:G,4,FALSE)="","",VLOOKUP(B15,'Part ID'!B:G,4,FALSE)))</f>
        <v/>
      </c>
      <c r="P15" s="24"/>
      <c r="Q15" s="24"/>
      <c r="T15" s="2" t="str">
        <f>IF(R15="","",VLOOKUP(R15,'Vendor Data'!F:G,2,FALSE))</f>
        <v/>
      </c>
    </row>
    <row r="16" spans="1:20" ht="13.5" customHeight="1" x14ac:dyDescent="0.25">
      <c r="A16" s="25"/>
      <c r="B16" s="35" t="s">
        <v>14</v>
      </c>
      <c r="C16" s="35"/>
      <c r="D16" s="36"/>
      <c r="E16" s="36"/>
      <c r="F16" s="37" t="str">
        <f>IF(B16="","",VLOOKUP(B16,'Part ID'!B:G,2,FALSE))</f>
        <v/>
      </c>
      <c r="G16" s="37"/>
      <c r="H16" s="37"/>
      <c r="I16" s="37" t="str">
        <f>IF(B16="","",IF(VLOOKUP(B16,'Part ID'!B:G,3,FALSE)="","",VLOOKUP(B16,'Part ID'!B:G,3,FALSE)))</f>
        <v/>
      </c>
      <c r="J16" s="37"/>
      <c r="K16" s="37"/>
      <c r="L16" s="37"/>
      <c r="M16" s="37"/>
      <c r="N16" s="15" t="str">
        <f>IF(B16="","",IF(VLOOKUP(B16,'Part ID'!B:G,4,FALSE)="","",VLOOKUP(B16,'Part ID'!B:G,4,FALSE)))</f>
        <v/>
      </c>
      <c r="P16" s="24"/>
      <c r="Q16" s="24"/>
      <c r="T16" s="2" t="str">
        <f>IF(R16="","",VLOOKUP(R16,'Vendor Data'!F:G,2,FALSE))</f>
        <v/>
      </c>
    </row>
    <row r="17" spans="1:20" ht="13.5" customHeight="1" x14ac:dyDescent="0.25">
      <c r="A17" s="25"/>
      <c r="B17" s="35" t="s">
        <v>14</v>
      </c>
      <c r="C17" s="35"/>
      <c r="D17" s="36"/>
      <c r="E17" s="36"/>
      <c r="F17" s="37" t="str">
        <f>IF(B17="","",VLOOKUP(B17,'Part ID'!B:G,2,FALSE))</f>
        <v/>
      </c>
      <c r="G17" s="37"/>
      <c r="H17" s="37"/>
      <c r="I17" s="37" t="str">
        <f>IF(B17="","",IF(VLOOKUP(B17,'Part ID'!B:G,3,FALSE)="","",VLOOKUP(B17,'Part ID'!B:G,3,FALSE)))</f>
        <v/>
      </c>
      <c r="J17" s="37"/>
      <c r="K17" s="37"/>
      <c r="L17" s="37"/>
      <c r="M17" s="37"/>
      <c r="N17" s="15" t="str">
        <f>IF(B17="","",IF(VLOOKUP(B17,'Part ID'!B:G,4,FALSE)="","",VLOOKUP(B17,'Part ID'!B:G,4,FALSE)))</f>
        <v/>
      </c>
      <c r="P17" s="24"/>
      <c r="Q17" s="24"/>
      <c r="T17" s="2" t="str">
        <f>IF(R17="","",VLOOKUP(R17,'Vendor Data'!F:G,2,FALSE))</f>
        <v/>
      </c>
    </row>
    <row r="18" spans="1:20" ht="13.5" customHeight="1" x14ac:dyDescent="0.25">
      <c r="A18" s="25"/>
      <c r="B18" s="35" t="s">
        <v>14</v>
      </c>
      <c r="C18" s="35"/>
      <c r="D18" s="36"/>
      <c r="E18" s="36"/>
      <c r="F18" s="37" t="str">
        <f>IF(B18="","",VLOOKUP(B18,'Part ID'!B:G,2,FALSE))</f>
        <v/>
      </c>
      <c r="G18" s="37"/>
      <c r="H18" s="37"/>
      <c r="I18" s="37" t="str">
        <f>IF(B18="","",IF(VLOOKUP(B18,'Part ID'!B:G,3,FALSE)="","",VLOOKUP(B18,'Part ID'!B:G,3,FALSE)))</f>
        <v/>
      </c>
      <c r="J18" s="37"/>
      <c r="K18" s="37"/>
      <c r="L18" s="37"/>
      <c r="M18" s="37"/>
      <c r="N18" s="15" t="str">
        <f>IF(B18="","",IF(VLOOKUP(B18,'Part ID'!B:G,4,FALSE)="","",VLOOKUP(B18,'Part ID'!B:G,4,FALSE)))</f>
        <v/>
      </c>
      <c r="P18" s="24"/>
      <c r="Q18" s="24"/>
      <c r="T18" s="2" t="str">
        <f>IF(R18="","",VLOOKUP(R18,'Vendor Data'!F:G,2,FALSE))</f>
        <v/>
      </c>
    </row>
    <row r="19" spans="1:20" ht="13.5" customHeight="1" x14ac:dyDescent="0.25">
      <c r="A19" s="25"/>
      <c r="B19" s="35" t="s">
        <v>14</v>
      </c>
      <c r="C19" s="35"/>
      <c r="D19" s="36"/>
      <c r="E19" s="36"/>
      <c r="F19" s="37" t="str">
        <f>IF(B19="","",VLOOKUP(B19,'Part ID'!B:G,2,FALSE))</f>
        <v/>
      </c>
      <c r="G19" s="37"/>
      <c r="H19" s="37"/>
      <c r="I19" s="37" t="str">
        <f>IF(B19="","",IF(VLOOKUP(B19,'Part ID'!B:G,3,FALSE)="","",VLOOKUP(B19,'Part ID'!B:G,3,FALSE)))</f>
        <v/>
      </c>
      <c r="J19" s="37"/>
      <c r="K19" s="37"/>
      <c r="L19" s="37"/>
      <c r="M19" s="37"/>
      <c r="N19" s="15" t="str">
        <f>IF(B19="","",IF(VLOOKUP(B19,'Part ID'!B:G,4,FALSE)="","",VLOOKUP(B19,'Part ID'!B:G,4,FALSE)))</f>
        <v/>
      </c>
      <c r="P19" s="24"/>
      <c r="Q19" s="24"/>
      <c r="T19" s="2" t="str">
        <f>IF(R19="","",VLOOKUP(R19,'Vendor Data'!F:G,2,FALSE))</f>
        <v/>
      </c>
    </row>
    <row r="20" spans="1:20" ht="13.5" customHeight="1" x14ac:dyDescent="0.25">
      <c r="A20" s="25"/>
      <c r="B20" s="35" t="s">
        <v>14</v>
      </c>
      <c r="C20" s="35"/>
      <c r="D20" s="36"/>
      <c r="E20" s="36"/>
      <c r="F20" s="37" t="str">
        <f>IF(B20="","",VLOOKUP(B20,'Part ID'!B:G,2,FALSE))</f>
        <v/>
      </c>
      <c r="G20" s="37"/>
      <c r="H20" s="37"/>
      <c r="I20" s="37" t="str">
        <f>IF(B20="","",IF(VLOOKUP(B20,'Part ID'!B:G,3,FALSE)="","",VLOOKUP(B20,'Part ID'!B:G,3,FALSE)))</f>
        <v/>
      </c>
      <c r="J20" s="37"/>
      <c r="K20" s="37"/>
      <c r="L20" s="37"/>
      <c r="M20" s="37"/>
      <c r="N20" s="15" t="str">
        <f>IF(B20="","",IF(VLOOKUP(B20,'Part ID'!B:G,4,FALSE)="","",VLOOKUP(B20,'Part ID'!B:G,4,FALSE)))</f>
        <v/>
      </c>
      <c r="P20" s="24"/>
      <c r="Q20" s="24"/>
      <c r="T20" s="2" t="str">
        <f>IF(R20="","",VLOOKUP(R20,'Vendor Data'!F:G,2,FALSE))</f>
        <v/>
      </c>
    </row>
    <row r="21" spans="1:20" ht="13.5" customHeight="1" x14ac:dyDescent="0.25">
      <c r="A21" s="25"/>
      <c r="B21" s="35" t="s">
        <v>14</v>
      </c>
      <c r="C21" s="35"/>
      <c r="D21" s="36"/>
      <c r="E21" s="36"/>
      <c r="F21" s="37" t="str">
        <f>IF(B21="","",VLOOKUP(B21,'Part ID'!B:G,2,FALSE))</f>
        <v/>
      </c>
      <c r="G21" s="37"/>
      <c r="H21" s="37"/>
      <c r="I21" s="37" t="str">
        <f>IF(B21="","",IF(VLOOKUP(B21,'Part ID'!B:G,3,FALSE)="","",VLOOKUP(B21,'Part ID'!B:G,3,FALSE)))</f>
        <v/>
      </c>
      <c r="J21" s="37"/>
      <c r="K21" s="37"/>
      <c r="L21" s="37"/>
      <c r="M21" s="37"/>
      <c r="N21" s="15" t="str">
        <f>IF(B21="","",IF(VLOOKUP(B21,'Part ID'!B:G,4,FALSE)="","",VLOOKUP(B21,'Part ID'!B:G,4,FALSE)))</f>
        <v/>
      </c>
      <c r="P21" s="24"/>
      <c r="Q21" s="24"/>
      <c r="T21" s="2" t="str">
        <f>IF(R21="","",VLOOKUP(R21,'Vendor Data'!F:G,2,FALSE))</f>
        <v/>
      </c>
    </row>
    <row r="22" spans="1:20" ht="13.5" customHeight="1" x14ac:dyDescent="0.25">
      <c r="A22" s="25"/>
      <c r="B22" s="35" t="s">
        <v>14</v>
      </c>
      <c r="C22" s="35"/>
      <c r="D22" s="36"/>
      <c r="E22" s="36"/>
      <c r="F22" s="37" t="str">
        <f>IF(B22="","",VLOOKUP(B22,'Part ID'!B:G,2,FALSE))</f>
        <v/>
      </c>
      <c r="G22" s="37"/>
      <c r="H22" s="37"/>
      <c r="I22" s="37" t="str">
        <f>IF(B22="","",IF(VLOOKUP(B22,'Part ID'!B:G,3,FALSE)="","",VLOOKUP(B22,'Part ID'!B:G,3,FALSE)))</f>
        <v/>
      </c>
      <c r="J22" s="37"/>
      <c r="K22" s="37"/>
      <c r="L22" s="37"/>
      <c r="M22" s="37"/>
      <c r="N22" s="15" t="str">
        <f>IF(B22="","",IF(VLOOKUP(B22,'Part ID'!B:G,4,FALSE)="","",VLOOKUP(B22,'Part ID'!B:G,4,FALSE)))</f>
        <v/>
      </c>
      <c r="P22" s="24"/>
      <c r="Q22" s="24"/>
      <c r="T22" s="2" t="str">
        <f>IF(R22="","",VLOOKUP(R22,'Vendor Data'!F:G,2,FALSE))</f>
        <v/>
      </c>
    </row>
    <row r="23" spans="1:20" ht="13.5" customHeight="1" x14ac:dyDescent="0.25">
      <c r="A23" s="25"/>
      <c r="B23" s="35" t="s">
        <v>14</v>
      </c>
      <c r="C23" s="35"/>
      <c r="D23" s="36"/>
      <c r="E23" s="36"/>
      <c r="F23" s="37" t="str">
        <f>IF(B23="","",VLOOKUP(B23,'Part ID'!B:G,2,FALSE))</f>
        <v/>
      </c>
      <c r="G23" s="37"/>
      <c r="H23" s="37"/>
      <c r="I23" s="37" t="str">
        <f>IF(B23="","",IF(VLOOKUP(B23,'Part ID'!B:G,3,FALSE)="","",VLOOKUP(B23,'Part ID'!B:G,3,FALSE)))</f>
        <v/>
      </c>
      <c r="J23" s="37"/>
      <c r="K23" s="37"/>
      <c r="L23" s="37"/>
      <c r="M23" s="37"/>
      <c r="N23" s="15" t="str">
        <f>IF(B23="","",IF(VLOOKUP(B23,'Part ID'!B:G,4,FALSE)="","",VLOOKUP(B23,'Part ID'!B:G,4,FALSE)))</f>
        <v/>
      </c>
      <c r="P23" s="24"/>
      <c r="Q23" s="24"/>
      <c r="T23" s="2" t="str">
        <f>IF(R23="","",VLOOKUP(R23,'Vendor Data'!F:G,2,FALSE))</f>
        <v/>
      </c>
    </row>
    <row r="24" spans="1:20" ht="13.5" customHeight="1" x14ac:dyDescent="0.25">
      <c r="A24" s="25"/>
      <c r="B24" s="35" t="s">
        <v>14</v>
      </c>
      <c r="C24" s="35"/>
      <c r="D24" s="36"/>
      <c r="E24" s="36"/>
      <c r="F24" s="37" t="str">
        <f>IF(B24="","",VLOOKUP(B24,'Part ID'!B:G,2,FALSE))</f>
        <v/>
      </c>
      <c r="G24" s="37"/>
      <c r="H24" s="37"/>
      <c r="I24" s="37" t="str">
        <f>IF(B24="","",IF(VLOOKUP(B24,'Part ID'!B:G,3,FALSE)="","",VLOOKUP(B24,'Part ID'!B:G,3,FALSE)))</f>
        <v/>
      </c>
      <c r="J24" s="37"/>
      <c r="K24" s="37"/>
      <c r="L24" s="37"/>
      <c r="M24" s="37"/>
      <c r="N24" s="15" t="str">
        <f>IF(B24="","",IF(VLOOKUP(B24,'Part ID'!B:G,4,FALSE)="","",VLOOKUP(B24,'Part ID'!B:G,4,FALSE)))</f>
        <v/>
      </c>
      <c r="P24" s="24"/>
      <c r="Q24" s="24"/>
      <c r="T24" s="2" t="str">
        <f>IF(R24="","",VLOOKUP(R24,'Vendor Data'!F:G,2,FALSE))</f>
        <v/>
      </c>
    </row>
    <row r="25" spans="1:20" ht="13.5" customHeight="1" x14ac:dyDescent="0.25">
      <c r="A25" s="25"/>
      <c r="B25" s="35" t="s">
        <v>14</v>
      </c>
      <c r="C25" s="35"/>
      <c r="D25" s="36"/>
      <c r="E25" s="36"/>
      <c r="F25" s="37" t="str">
        <f>IF(B25="","",VLOOKUP(B25,'Part ID'!B:G,2,FALSE))</f>
        <v/>
      </c>
      <c r="G25" s="37"/>
      <c r="H25" s="37"/>
      <c r="I25" s="37" t="str">
        <f>IF(B25="","",IF(VLOOKUP(B25,'Part ID'!B:G,3,FALSE)="","",VLOOKUP(B25,'Part ID'!B:G,3,FALSE)))</f>
        <v/>
      </c>
      <c r="J25" s="37"/>
      <c r="K25" s="37"/>
      <c r="L25" s="37"/>
      <c r="M25" s="37"/>
      <c r="N25" s="15" t="str">
        <f>IF(B25="","",IF(VLOOKUP(B25,'Part ID'!B:G,4,FALSE)="","",VLOOKUP(B25,'Part ID'!B:G,4,FALSE)))</f>
        <v/>
      </c>
      <c r="P25" s="24"/>
      <c r="Q25" s="24"/>
      <c r="T25" s="2" t="str">
        <f>IF(R25="","",VLOOKUP(R25,'Vendor Data'!F:G,2,FALSE))</f>
        <v/>
      </c>
    </row>
    <row r="26" spans="1:20" ht="13.5" customHeight="1" x14ac:dyDescent="0.25">
      <c r="A26" s="25"/>
      <c r="B26" s="35" t="s">
        <v>14</v>
      </c>
      <c r="C26" s="35"/>
      <c r="D26" s="36"/>
      <c r="E26" s="36"/>
      <c r="F26" s="37" t="str">
        <f>IF(B26="","",VLOOKUP(B26,'Part ID'!B:G,2,FALSE))</f>
        <v/>
      </c>
      <c r="G26" s="37"/>
      <c r="H26" s="37"/>
      <c r="I26" s="37" t="str">
        <f>IF(B26="","",IF(VLOOKUP(B26,'Part ID'!B:G,3,FALSE)="","",VLOOKUP(B26,'Part ID'!B:G,3,FALSE)))</f>
        <v/>
      </c>
      <c r="J26" s="37"/>
      <c r="K26" s="37"/>
      <c r="L26" s="37"/>
      <c r="M26" s="37"/>
      <c r="N26" s="15" t="str">
        <f>IF(B26="","",IF(VLOOKUP(B26,'Part ID'!B:G,4,FALSE)="","",VLOOKUP(B26,'Part ID'!B:G,4,FALSE)))</f>
        <v/>
      </c>
      <c r="P26" s="24"/>
      <c r="Q26" s="24"/>
      <c r="T26" s="2" t="str">
        <f>IF(R26="","",VLOOKUP(R26,'Vendor Data'!F:G,2,FALSE))</f>
        <v/>
      </c>
    </row>
    <row r="27" spans="1:20" ht="13.5" customHeight="1" x14ac:dyDescent="0.25">
      <c r="A27" s="25"/>
      <c r="B27" s="35" t="s">
        <v>14</v>
      </c>
      <c r="C27" s="35"/>
      <c r="D27" s="36"/>
      <c r="E27" s="36"/>
      <c r="F27" s="37" t="str">
        <f>IF(B27="","",VLOOKUP(B27,'Part ID'!B:G,2,FALSE))</f>
        <v/>
      </c>
      <c r="G27" s="37"/>
      <c r="H27" s="37"/>
      <c r="I27" s="37" t="str">
        <f>IF(B27="","",IF(VLOOKUP(B27,'Part ID'!B:G,3,FALSE)="","",VLOOKUP(B27,'Part ID'!B:G,3,FALSE)))</f>
        <v/>
      </c>
      <c r="J27" s="37"/>
      <c r="K27" s="37"/>
      <c r="L27" s="37"/>
      <c r="M27" s="37"/>
      <c r="N27" s="15" t="str">
        <f>IF(B27="","",IF(VLOOKUP(B27,'Part ID'!B:G,4,FALSE)="","",VLOOKUP(B27,'Part ID'!B:G,4,FALSE)))</f>
        <v/>
      </c>
      <c r="P27" s="24"/>
      <c r="Q27" s="24"/>
      <c r="T27" s="2" t="str">
        <f>IF(R27="","",VLOOKUP(R27,'Vendor Data'!F:G,2,FALSE))</f>
        <v/>
      </c>
    </row>
    <row r="28" spans="1:20" ht="13.5" customHeight="1" x14ac:dyDescent="0.25">
      <c r="A28" s="25"/>
      <c r="B28" s="35" t="s">
        <v>14</v>
      </c>
      <c r="C28" s="35"/>
      <c r="D28" s="36"/>
      <c r="E28" s="36"/>
      <c r="F28" s="37" t="str">
        <f>IF(B28="","",VLOOKUP(B28,'Part ID'!B:G,2,FALSE))</f>
        <v/>
      </c>
      <c r="G28" s="37"/>
      <c r="H28" s="37"/>
      <c r="I28" s="37" t="str">
        <f>IF(B28="","",IF(VLOOKUP(B28,'Part ID'!B:G,3,FALSE)="","",VLOOKUP(B28,'Part ID'!B:G,3,FALSE)))</f>
        <v/>
      </c>
      <c r="J28" s="37"/>
      <c r="K28" s="37"/>
      <c r="L28" s="37"/>
      <c r="M28" s="37"/>
      <c r="N28" s="15" t="str">
        <f>IF(B28="","",IF(VLOOKUP(B28,'Part ID'!B:G,4,FALSE)="","",VLOOKUP(B28,'Part ID'!B:G,4,FALSE)))</f>
        <v/>
      </c>
      <c r="P28" s="24"/>
      <c r="Q28" s="24"/>
      <c r="T28" s="2" t="str">
        <f>IF(R28="","",VLOOKUP(R28,'Vendor Data'!F:G,2,FALSE))</f>
        <v/>
      </c>
    </row>
    <row r="29" spans="1:20" ht="13.5" customHeight="1" x14ac:dyDescent="0.25">
      <c r="A29" s="25"/>
      <c r="B29" s="35" t="s">
        <v>14</v>
      </c>
      <c r="C29" s="35"/>
      <c r="D29" s="36"/>
      <c r="E29" s="36"/>
      <c r="F29" s="37" t="str">
        <f>IF(B29="","",VLOOKUP(B29,'Part ID'!B:G,2,FALSE))</f>
        <v/>
      </c>
      <c r="G29" s="37"/>
      <c r="H29" s="37"/>
      <c r="I29" s="37" t="str">
        <f>IF(B29="","",IF(VLOOKUP(B29,'Part ID'!B:G,3,FALSE)="","",VLOOKUP(B29,'Part ID'!B:G,3,FALSE)))</f>
        <v/>
      </c>
      <c r="J29" s="37"/>
      <c r="K29" s="37"/>
      <c r="L29" s="37"/>
      <c r="M29" s="37"/>
      <c r="N29" s="15" t="str">
        <f>IF(B29="","",IF(VLOOKUP(B29,'Part ID'!B:G,4,FALSE)="","",VLOOKUP(B29,'Part ID'!B:G,4,FALSE)))</f>
        <v/>
      </c>
      <c r="P29" s="24"/>
      <c r="Q29" s="24"/>
      <c r="T29" s="2" t="str">
        <f>IF(R29="","",VLOOKUP(R29,'Vendor Data'!F:G,2,FALSE))</f>
        <v/>
      </c>
    </row>
    <row r="30" spans="1:20" ht="13.5" customHeight="1" x14ac:dyDescent="0.25">
      <c r="A30" s="25"/>
      <c r="B30" s="35" t="s">
        <v>14</v>
      </c>
      <c r="C30" s="35"/>
      <c r="D30" s="36"/>
      <c r="E30" s="36"/>
      <c r="F30" s="37" t="str">
        <f>IF(B30="","",VLOOKUP(B30,'Part ID'!B:G,2,FALSE))</f>
        <v/>
      </c>
      <c r="G30" s="37"/>
      <c r="H30" s="37"/>
      <c r="I30" s="37" t="str">
        <f>IF(B30="","",IF(VLOOKUP(B30,'Part ID'!B:G,3,FALSE)="","",VLOOKUP(B30,'Part ID'!B:G,3,FALSE)))</f>
        <v/>
      </c>
      <c r="J30" s="37"/>
      <c r="K30" s="37"/>
      <c r="L30" s="37"/>
      <c r="M30" s="37"/>
      <c r="N30" s="15" t="str">
        <f>IF(B30="","",IF(VLOOKUP(B30,'Part ID'!B:G,4,FALSE)="","",VLOOKUP(B30,'Part ID'!B:G,4,FALSE)))</f>
        <v/>
      </c>
      <c r="P30" s="24"/>
      <c r="Q30" s="24"/>
      <c r="T30" s="2" t="str">
        <f>IF(R30="","",VLOOKUP(R30,'Vendor Data'!F:G,2,FALSE))</f>
        <v/>
      </c>
    </row>
    <row r="31" spans="1:20" ht="13.5" customHeight="1" x14ac:dyDescent="0.25">
      <c r="A31" s="25"/>
      <c r="B31" s="35" t="s">
        <v>14</v>
      </c>
      <c r="C31" s="35"/>
      <c r="D31" s="36"/>
      <c r="E31" s="36"/>
      <c r="F31" s="37" t="str">
        <f>IF(B31="","",VLOOKUP(B31,'Part ID'!B:G,2,FALSE))</f>
        <v/>
      </c>
      <c r="G31" s="37"/>
      <c r="H31" s="37"/>
      <c r="I31" s="37" t="str">
        <f>IF(B31="","",IF(VLOOKUP(B31,'Part ID'!B:G,3,FALSE)="","",VLOOKUP(B31,'Part ID'!B:G,3,FALSE)))</f>
        <v/>
      </c>
      <c r="J31" s="37"/>
      <c r="K31" s="37"/>
      <c r="L31" s="37"/>
      <c r="M31" s="37"/>
      <c r="N31" s="15" t="str">
        <f>IF(B31="","",IF(VLOOKUP(B31,'Part ID'!B:G,4,FALSE)="","",VLOOKUP(B31,'Part ID'!B:G,4,FALSE)))</f>
        <v/>
      </c>
      <c r="P31" s="24"/>
      <c r="Q31" s="24"/>
      <c r="T31" s="2" t="str">
        <f>IF(R31="","",VLOOKUP(R31,'Vendor Data'!F:G,2,FALSE))</f>
        <v/>
      </c>
    </row>
    <row r="32" spans="1:20" ht="13.5" customHeight="1" x14ac:dyDescent="0.25">
      <c r="A32" s="25"/>
      <c r="B32" s="35" t="s">
        <v>14</v>
      </c>
      <c r="C32" s="35"/>
      <c r="D32" s="36"/>
      <c r="E32" s="36"/>
      <c r="F32" s="37" t="str">
        <f>IF(B32="","",VLOOKUP(B32,'Part ID'!B:G,2,FALSE))</f>
        <v/>
      </c>
      <c r="G32" s="37"/>
      <c r="H32" s="37"/>
      <c r="I32" s="37" t="str">
        <f>IF(B32="","",IF(VLOOKUP(B32,'Part ID'!B:G,3,FALSE)="","",VLOOKUP(B32,'Part ID'!B:G,3,FALSE)))</f>
        <v/>
      </c>
      <c r="J32" s="37"/>
      <c r="K32" s="37"/>
      <c r="L32" s="37"/>
      <c r="M32" s="37"/>
      <c r="N32" s="15" t="str">
        <f>IF(B32="","",IF(VLOOKUP(B32,'Part ID'!B:G,4,FALSE)="","",VLOOKUP(B32,'Part ID'!B:G,4,FALSE)))</f>
        <v/>
      </c>
      <c r="P32" s="24"/>
      <c r="Q32" s="24"/>
      <c r="T32" s="2" t="str">
        <f>IF(R32="","",VLOOKUP(R32,'Vendor Data'!F:G,2,FALSE))</f>
        <v/>
      </c>
    </row>
    <row r="33" spans="1:20" ht="13.5" customHeight="1" x14ac:dyDescent="0.25">
      <c r="A33" s="25"/>
      <c r="B33" s="35" t="s">
        <v>14</v>
      </c>
      <c r="C33" s="35"/>
      <c r="D33" s="36"/>
      <c r="E33" s="36"/>
      <c r="F33" s="37" t="str">
        <f>IF(B33="","",VLOOKUP(B33,'Part ID'!B:G,2,FALSE))</f>
        <v/>
      </c>
      <c r="G33" s="37"/>
      <c r="H33" s="37"/>
      <c r="I33" s="37" t="str">
        <f>IF(B33="","",IF(VLOOKUP(B33,'Part ID'!B:G,3,FALSE)="","",VLOOKUP(B33,'Part ID'!B:G,3,FALSE)))</f>
        <v/>
      </c>
      <c r="J33" s="37"/>
      <c r="K33" s="37"/>
      <c r="L33" s="37"/>
      <c r="M33" s="37"/>
      <c r="N33" s="15" t="str">
        <f>IF(B33="","",IF(VLOOKUP(B33,'Part ID'!B:G,4,FALSE)="","",VLOOKUP(B33,'Part ID'!B:G,4,FALSE)))</f>
        <v/>
      </c>
      <c r="P33" s="24"/>
      <c r="Q33" s="24"/>
      <c r="T33" s="2" t="str">
        <f>IF(R33="","",VLOOKUP(R33,'Vendor Data'!F:G,2,FALSE))</f>
        <v/>
      </c>
    </row>
    <row r="34" spans="1:20" ht="13.5" customHeight="1" x14ac:dyDescent="0.25">
      <c r="A34" s="25"/>
      <c r="B34" s="35" t="s">
        <v>14</v>
      </c>
      <c r="C34" s="35"/>
      <c r="D34" s="36"/>
      <c r="E34" s="36"/>
      <c r="F34" s="37" t="str">
        <f>IF(B34="","",VLOOKUP(B34,'Part ID'!B:G,2,FALSE))</f>
        <v/>
      </c>
      <c r="G34" s="37"/>
      <c r="H34" s="37"/>
      <c r="I34" s="37" t="str">
        <f>IF(B34="","",IF(VLOOKUP(B34,'Part ID'!B:G,3,FALSE)="","",VLOOKUP(B34,'Part ID'!B:G,3,FALSE)))</f>
        <v/>
      </c>
      <c r="J34" s="37"/>
      <c r="K34" s="37"/>
      <c r="L34" s="37"/>
      <c r="M34" s="37"/>
      <c r="N34" s="15" t="str">
        <f>IF(B34="","",IF(VLOOKUP(B34,'Part ID'!B:G,4,FALSE)="","",VLOOKUP(B34,'Part ID'!B:G,4,FALSE)))</f>
        <v/>
      </c>
      <c r="P34" s="24"/>
      <c r="Q34" s="24"/>
      <c r="T34" s="2" t="str">
        <f>IF(R34="","",VLOOKUP(R34,'Vendor Data'!F:G,2,FALSE))</f>
        <v/>
      </c>
    </row>
    <row r="35" spans="1:20" ht="13.5" customHeight="1" x14ac:dyDescent="0.25">
      <c r="A35" s="25"/>
      <c r="B35" s="35" t="s">
        <v>14</v>
      </c>
      <c r="C35" s="35"/>
      <c r="D35" s="36"/>
      <c r="E35" s="36"/>
      <c r="F35" s="37" t="str">
        <f>IF(B35="","",VLOOKUP(B35,'Part ID'!B:G,2,FALSE))</f>
        <v/>
      </c>
      <c r="G35" s="37"/>
      <c r="H35" s="37"/>
      <c r="I35" s="37" t="str">
        <f>IF(B35="","",IF(VLOOKUP(B35,'Part ID'!B:G,3,FALSE)="","",VLOOKUP(B35,'Part ID'!B:G,3,FALSE)))</f>
        <v/>
      </c>
      <c r="J35" s="37"/>
      <c r="K35" s="37"/>
      <c r="L35" s="37"/>
      <c r="M35" s="37"/>
      <c r="N35" s="15" t="str">
        <f>IF(B35="","",IF(VLOOKUP(B35,'Part ID'!B:G,4,FALSE)="","",VLOOKUP(B35,'Part ID'!B:G,4,FALSE)))</f>
        <v/>
      </c>
      <c r="P35" s="24"/>
      <c r="Q35" s="24"/>
      <c r="T35" s="2" t="str">
        <f>IF(R35="","",VLOOKUP(R35,'Vendor Data'!F:G,2,FALSE))</f>
        <v/>
      </c>
    </row>
    <row r="36" spans="1:20" ht="13.5" customHeight="1" x14ac:dyDescent="0.25">
      <c r="A36" s="25"/>
      <c r="B36" s="35" t="s">
        <v>14</v>
      </c>
      <c r="C36" s="35"/>
      <c r="D36" s="36"/>
      <c r="E36" s="36"/>
      <c r="F36" s="37" t="str">
        <f>IF(B36="","",VLOOKUP(B36,'Part ID'!B:G,2,FALSE))</f>
        <v/>
      </c>
      <c r="G36" s="37"/>
      <c r="H36" s="37"/>
      <c r="I36" s="37" t="str">
        <f>IF(B36="","",IF(VLOOKUP(B36,'Part ID'!B:G,3,FALSE)="","",VLOOKUP(B36,'Part ID'!B:G,3,FALSE)))</f>
        <v/>
      </c>
      <c r="J36" s="37"/>
      <c r="K36" s="37"/>
      <c r="L36" s="37"/>
      <c r="M36" s="37"/>
      <c r="N36" s="15" t="str">
        <f>IF(B36="","",IF(VLOOKUP(B36,'Part ID'!B:G,4,FALSE)="","",VLOOKUP(B36,'Part ID'!B:G,4,FALSE)))</f>
        <v/>
      </c>
      <c r="P36" s="24"/>
      <c r="Q36" s="24"/>
      <c r="T36" s="2" t="str">
        <f>IF(R36="","",VLOOKUP(R36,'Vendor Data'!F:G,2,FALSE))</f>
        <v/>
      </c>
    </row>
    <row r="37" spans="1:20" ht="13.5" customHeight="1" x14ac:dyDescent="0.25">
      <c r="A37" s="25"/>
      <c r="B37" s="35" t="s">
        <v>14</v>
      </c>
      <c r="C37" s="35"/>
      <c r="D37" s="36"/>
      <c r="E37" s="36"/>
      <c r="F37" s="37" t="str">
        <f>IF(B37="","",VLOOKUP(B37,'Part ID'!B:G,2,FALSE))</f>
        <v/>
      </c>
      <c r="G37" s="37"/>
      <c r="H37" s="37"/>
      <c r="I37" s="37" t="str">
        <f>IF(B37="","",IF(VLOOKUP(B37,'Part ID'!B:G,3,FALSE)="","",VLOOKUP(B37,'Part ID'!B:G,3,FALSE)))</f>
        <v/>
      </c>
      <c r="J37" s="37"/>
      <c r="K37" s="37"/>
      <c r="L37" s="37"/>
      <c r="M37" s="37"/>
      <c r="N37" s="15" t="str">
        <f>IF(B37="","",IF(VLOOKUP(B37,'Part ID'!B:G,4,FALSE)="","",VLOOKUP(B37,'Part ID'!B:G,4,FALSE)))</f>
        <v/>
      </c>
      <c r="P37" s="24"/>
      <c r="Q37" s="24"/>
      <c r="T37" s="2" t="str">
        <f>IF(R37="","",VLOOKUP(R37,'Vendor Data'!F:G,2,FALSE))</f>
        <v/>
      </c>
    </row>
    <row r="38" spans="1:20" ht="13.5" customHeight="1" x14ac:dyDescent="0.25">
      <c r="A38" s="25"/>
      <c r="B38" s="35" t="s">
        <v>14</v>
      </c>
      <c r="C38" s="35"/>
      <c r="D38" s="36"/>
      <c r="E38" s="36"/>
      <c r="F38" s="37" t="str">
        <f>IF(B38="","",VLOOKUP(B38,'Part ID'!B:G,2,FALSE))</f>
        <v/>
      </c>
      <c r="G38" s="37"/>
      <c r="H38" s="37"/>
      <c r="I38" s="37" t="str">
        <f>IF(B38="","",IF(VLOOKUP(B38,'Part ID'!B:G,3,FALSE)="","",VLOOKUP(B38,'Part ID'!B:G,3,FALSE)))</f>
        <v/>
      </c>
      <c r="J38" s="37"/>
      <c r="K38" s="37"/>
      <c r="L38" s="37"/>
      <c r="M38" s="37"/>
      <c r="N38" s="15" t="str">
        <f>IF(B38="","",IF(VLOOKUP(B38,'Part ID'!B:G,4,FALSE)="","",VLOOKUP(B38,'Part ID'!B:G,4,FALSE)))</f>
        <v/>
      </c>
      <c r="P38" s="24"/>
      <c r="Q38" s="24"/>
      <c r="T38" s="2" t="str">
        <f>IF(R38="","",VLOOKUP(R38,'Vendor Data'!F:G,2,FALSE))</f>
        <v/>
      </c>
    </row>
    <row r="39" spans="1:20" ht="13.5" customHeight="1" x14ac:dyDescent="0.25">
      <c r="A39" s="25"/>
      <c r="B39" s="35" t="s">
        <v>14</v>
      </c>
      <c r="C39" s="35"/>
      <c r="D39" s="36"/>
      <c r="E39" s="36"/>
      <c r="F39" s="37" t="str">
        <f>IF(B39="","",VLOOKUP(B39,'Part ID'!B:G,2,FALSE))</f>
        <v/>
      </c>
      <c r="G39" s="37"/>
      <c r="H39" s="37"/>
      <c r="I39" s="37" t="str">
        <f>IF(B39="","",IF(VLOOKUP(B39,'Part ID'!B:G,3,FALSE)="","",VLOOKUP(B39,'Part ID'!B:G,3,FALSE)))</f>
        <v/>
      </c>
      <c r="J39" s="37"/>
      <c r="K39" s="37"/>
      <c r="L39" s="37"/>
      <c r="M39" s="37"/>
      <c r="N39" s="15" t="str">
        <f>IF(B39="","",IF(VLOOKUP(B39,'Part ID'!B:G,4,FALSE)="","",VLOOKUP(B39,'Part ID'!B:G,4,FALSE)))</f>
        <v/>
      </c>
      <c r="P39" s="24"/>
      <c r="Q39" s="24"/>
      <c r="T39" s="2" t="str">
        <f>IF(R39="","",VLOOKUP(R39,'Vendor Data'!F:G,2,FALSE))</f>
        <v/>
      </c>
    </row>
    <row r="40" spans="1:20" ht="13.5" customHeight="1" x14ac:dyDescent="0.25">
      <c r="A40" s="25"/>
      <c r="B40" s="35" t="s">
        <v>14</v>
      </c>
      <c r="C40" s="35"/>
      <c r="D40" s="36"/>
      <c r="E40" s="36"/>
      <c r="F40" s="37" t="str">
        <f>IF(B40="","",VLOOKUP(B40,'Part ID'!B:G,2,FALSE))</f>
        <v/>
      </c>
      <c r="G40" s="37"/>
      <c r="H40" s="37"/>
      <c r="I40" s="37" t="str">
        <f>IF(B40="","",IF(VLOOKUP(B40,'Part ID'!B:G,3,FALSE)="","",VLOOKUP(B40,'Part ID'!B:G,3,FALSE)))</f>
        <v/>
      </c>
      <c r="J40" s="37"/>
      <c r="K40" s="37"/>
      <c r="L40" s="37"/>
      <c r="M40" s="37"/>
      <c r="N40" s="15" t="str">
        <f>IF(B40="","",IF(VLOOKUP(B40,'Part ID'!B:G,4,FALSE)="","",VLOOKUP(B40,'Part ID'!B:G,4,FALSE)))</f>
        <v/>
      </c>
      <c r="P40" s="24"/>
      <c r="Q40" s="24"/>
      <c r="T40" s="2" t="str">
        <f>IF(R40="","",VLOOKUP(R40,'Vendor Data'!F:G,2,FALSE))</f>
        <v/>
      </c>
    </row>
    <row r="41" spans="1:20" ht="13.5" customHeight="1" x14ac:dyDescent="0.25">
      <c r="A41" s="25"/>
      <c r="B41" s="35" t="s">
        <v>14</v>
      </c>
      <c r="C41" s="35"/>
      <c r="D41" s="36"/>
      <c r="E41" s="36"/>
      <c r="F41" s="37" t="str">
        <f>IF(B41="","",VLOOKUP(B41,'Part ID'!B:G,2,FALSE))</f>
        <v/>
      </c>
      <c r="G41" s="37"/>
      <c r="H41" s="37"/>
      <c r="I41" s="37" t="str">
        <f>IF(B41="","",IF(VLOOKUP(B41,'Part ID'!B:G,3,FALSE)="","",VLOOKUP(B41,'Part ID'!B:G,3,FALSE)))</f>
        <v/>
      </c>
      <c r="J41" s="37"/>
      <c r="K41" s="37"/>
      <c r="L41" s="37"/>
      <c r="M41" s="37"/>
      <c r="N41" s="15" t="str">
        <f>IF(B41="","",IF(VLOOKUP(B41,'Part ID'!B:G,4,FALSE)="","",VLOOKUP(B41,'Part ID'!B:G,4,FALSE)))</f>
        <v/>
      </c>
      <c r="P41" s="24"/>
      <c r="Q41" s="24"/>
      <c r="T41" s="2" t="str">
        <f>IF(R41="","",VLOOKUP(R41,'Vendor Data'!F:G,2,FALSE))</f>
        <v/>
      </c>
    </row>
    <row r="42" spans="1:20" ht="13.5" customHeight="1" x14ac:dyDescent="0.25">
      <c r="A42" s="25"/>
      <c r="B42" s="35" t="s">
        <v>14</v>
      </c>
      <c r="C42" s="35"/>
      <c r="D42" s="36"/>
      <c r="E42" s="36"/>
      <c r="F42" s="37" t="str">
        <f>IF(B42="","",VLOOKUP(B42,'Part ID'!B:G,2,FALSE))</f>
        <v/>
      </c>
      <c r="G42" s="37"/>
      <c r="H42" s="37"/>
      <c r="I42" s="37" t="str">
        <f>IF(B42="","",IF(VLOOKUP(B42,'Part ID'!B:G,3,FALSE)="","",VLOOKUP(B42,'Part ID'!B:G,3,FALSE)))</f>
        <v/>
      </c>
      <c r="J42" s="37"/>
      <c r="K42" s="37"/>
      <c r="L42" s="37"/>
      <c r="M42" s="37"/>
      <c r="N42" s="15" t="str">
        <f>IF(B42="","",IF(VLOOKUP(B42,'Part ID'!B:G,4,FALSE)="","",VLOOKUP(B42,'Part ID'!B:G,4,FALSE)))</f>
        <v/>
      </c>
      <c r="P42" s="24"/>
      <c r="Q42" s="24"/>
      <c r="T42" s="2" t="str">
        <f>IF(R42="","",VLOOKUP(R42,'Vendor Data'!F:G,2,FALSE))</f>
        <v/>
      </c>
    </row>
    <row r="43" spans="1:20" ht="12.75" x14ac:dyDescent="0.25">
      <c r="A43" s="17" t="s">
        <v>11</v>
      </c>
      <c r="H43" s="6" t="str">
        <f>IF(B43="","",VLOOKUP(B43,#REF!,2))</f>
        <v/>
      </c>
      <c r="I43" s="6" t="str">
        <f>IF(B43="","",VLOOKUP(B43,#REF!,3))</f>
        <v/>
      </c>
      <c r="J43" s="6"/>
      <c r="K43" s="6"/>
      <c r="L43" s="6"/>
      <c r="M43" s="6"/>
      <c r="N43" s="7" t="str">
        <f>IF(B43="","",VLOOKUP(B43,#REF!,4))</f>
        <v/>
      </c>
      <c r="Q43" s="1"/>
    </row>
    <row r="44" spans="1:20" ht="12.75" x14ac:dyDescent="0.25">
      <c r="A44" s="17"/>
      <c r="B44" s="29"/>
      <c r="C44" s="29"/>
      <c r="D44" s="21"/>
      <c r="E44" s="21"/>
      <c r="F44" s="21"/>
      <c r="G44" s="21"/>
      <c r="H44" s="27" t="str">
        <f>IF(B44="","",VLOOKUP(B44,#REF!,2))</f>
        <v/>
      </c>
      <c r="I44" s="27" t="str">
        <f>IF(B44="","",VLOOKUP(B44,#REF!,3))</f>
        <v/>
      </c>
      <c r="J44" s="27"/>
      <c r="K44" s="27"/>
      <c r="L44" s="27"/>
      <c r="M44" s="27"/>
      <c r="N44" s="15" t="str">
        <f>IF(B44="","",VLOOKUP(B44,#REF!,4))</f>
        <v/>
      </c>
      <c r="Q44" s="1"/>
    </row>
    <row r="45" spans="1:20" x14ac:dyDescent="0.2">
      <c r="H45" s="6" t="str">
        <f>IF(B45="","",VLOOKUP(B45,#REF!,2))</f>
        <v/>
      </c>
      <c r="I45" s="6" t="str">
        <f>IF(B45="","",VLOOKUP(B45,#REF!,3))</f>
        <v/>
      </c>
      <c r="J45" s="6"/>
      <c r="K45" s="6"/>
      <c r="L45" s="6"/>
      <c r="M45" s="6"/>
      <c r="N45" s="7" t="str">
        <f>IF(B45="","",VLOOKUP(B45,#REF!,4))</f>
        <v/>
      </c>
      <c r="Q45" s="1"/>
    </row>
    <row r="46" spans="1:20" x14ac:dyDescent="0.2">
      <c r="H46" s="6" t="str">
        <f>IF(B46="","",VLOOKUP(B46,#REF!,2))</f>
        <v/>
      </c>
      <c r="I46" s="6" t="str">
        <f>IF(B46="","",VLOOKUP(B46,#REF!,3))</f>
        <v/>
      </c>
      <c r="J46" s="6"/>
      <c r="K46" s="6"/>
      <c r="L46" s="6"/>
      <c r="M46" s="6"/>
      <c r="N46" s="7" t="str">
        <f>IF(B46="","",VLOOKUP(B46,#REF!,4))</f>
        <v/>
      </c>
      <c r="Q46" s="1"/>
    </row>
    <row r="47" spans="1:20" x14ac:dyDescent="0.2">
      <c r="H47" s="6" t="str">
        <f>IF(B47="","",VLOOKUP(B47,#REF!,2))</f>
        <v/>
      </c>
      <c r="I47" s="6" t="str">
        <f>IF(B47="","",VLOOKUP(B47,#REF!,3))</f>
        <v/>
      </c>
      <c r="J47" s="6"/>
      <c r="K47" s="6"/>
      <c r="L47" s="6"/>
      <c r="M47" s="6"/>
      <c r="N47" s="7" t="str">
        <f>IF(B47="","",VLOOKUP(B47,#REF!,4))</f>
        <v/>
      </c>
      <c r="Q47" s="1"/>
    </row>
    <row r="48" spans="1:20" x14ac:dyDescent="0.2">
      <c r="H48" s="6" t="str">
        <f>IF(B48="","",VLOOKUP(B48,#REF!,2))</f>
        <v/>
      </c>
      <c r="I48" s="6" t="str">
        <f>IF(B48="","",VLOOKUP(B48,#REF!,3))</f>
        <v/>
      </c>
      <c r="J48" s="6"/>
      <c r="K48" s="6"/>
      <c r="L48" s="6"/>
      <c r="M48" s="6"/>
      <c r="N48" s="7" t="str">
        <f>IF(B48="","",VLOOKUP(B48,#REF!,4))</f>
        <v/>
      </c>
      <c r="Q48" s="1"/>
    </row>
    <row r="49" spans="8:17" x14ac:dyDescent="0.2">
      <c r="H49" s="6" t="str">
        <f>IF(B49="","",VLOOKUP(B49,#REF!,2))</f>
        <v/>
      </c>
      <c r="I49" s="6" t="str">
        <f>IF(B49="","",VLOOKUP(B49,#REF!,3))</f>
        <v/>
      </c>
      <c r="J49" s="6"/>
      <c r="K49" s="6"/>
      <c r="L49" s="6"/>
      <c r="M49" s="6"/>
      <c r="N49" s="7" t="str">
        <f>IF(B49="","",VLOOKUP(B49,#REF!,4))</f>
        <v/>
      </c>
      <c r="Q49" s="1"/>
    </row>
    <row r="50" spans="8:17" x14ac:dyDescent="0.2">
      <c r="H50" s="6" t="str">
        <f>IF(B50="","",VLOOKUP(B50,#REF!,2))</f>
        <v/>
      </c>
      <c r="I50" s="6" t="str">
        <f>IF(B50="","",VLOOKUP(B50,#REF!,3))</f>
        <v/>
      </c>
      <c r="J50" s="6"/>
      <c r="K50" s="6"/>
      <c r="L50" s="6"/>
      <c r="M50" s="6"/>
      <c r="N50" s="7" t="str">
        <f>IF(B50="","",VLOOKUP(B50,#REF!,4))</f>
        <v/>
      </c>
      <c r="Q50" s="1"/>
    </row>
    <row r="51" spans="8:17" x14ac:dyDescent="0.2">
      <c r="H51" s="6" t="str">
        <f>IF(B51="","",VLOOKUP(B51,#REF!,2))</f>
        <v/>
      </c>
      <c r="I51" s="6" t="str">
        <f>IF(B51="","",VLOOKUP(B51,#REF!,3))</f>
        <v/>
      </c>
      <c r="J51" s="6"/>
      <c r="K51" s="6"/>
      <c r="L51" s="6"/>
      <c r="M51" s="6"/>
      <c r="N51" s="7" t="str">
        <f>IF(B51="","",VLOOKUP(B51,#REF!,4))</f>
        <v/>
      </c>
      <c r="Q51" s="1"/>
    </row>
    <row r="52" spans="8:17" x14ac:dyDescent="0.2">
      <c r="H52" s="6" t="str">
        <f>IF(B52="","",VLOOKUP(B52,#REF!,2))</f>
        <v/>
      </c>
      <c r="I52" s="6" t="str">
        <f>IF(B52="","",VLOOKUP(B52,#REF!,3))</f>
        <v/>
      </c>
      <c r="J52" s="6"/>
      <c r="K52" s="6"/>
      <c r="L52" s="6"/>
      <c r="M52" s="6"/>
      <c r="N52" s="7" t="str">
        <f>IF(B52="","",VLOOKUP(B52,#REF!,4))</f>
        <v/>
      </c>
      <c r="Q52" s="1"/>
    </row>
    <row r="53" spans="8:17" x14ac:dyDescent="0.2">
      <c r="H53" s="6" t="str">
        <f>IF(B53="","",VLOOKUP(B53,#REF!,2))</f>
        <v/>
      </c>
      <c r="I53" s="6" t="str">
        <f>IF(B53="","",VLOOKUP(B53,#REF!,3))</f>
        <v/>
      </c>
      <c r="J53" s="6"/>
      <c r="K53" s="6"/>
      <c r="L53" s="6"/>
      <c r="M53" s="6"/>
      <c r="N53" s="7" t="str">
        <f>IF(B53="","",VLOOKUP(B53,#REF!,4))</f>
        <v/>
      </c>
      <c r="Q53" s="1"/>
    </row>
    <row r="54" spans="8:17" x14ac:dyDescent="0.2">
      <c r="H54" s="6" t="str">
        <f>IF(B54="","",VLOOKUP(B54,#REF!,2))</f>
        <v/>
      </c>
      <c r="I54" s="6" t="str">
        <f>IF(B54="","",VLOOKUP(B54,#REF!,3))</f>
        <v/>
      </c>
      <c r="J54" s="6"/>
      <c r="K54" s="6"/>
      <c r="L54" s="6"/>
      <c r="M54" s="6"/>
      <c r="N54" s="7" t="str">
        <f>IF(B54="","",VLOOKUP(B54,#REF!,4))</f>
        <v/>
      </c>
      <c r="Q54" s="1"/>
    </row>
    <row r="55" spans="8:17" x14ac:dyDescent="0.2">
      <c r="H55" s="6" t="str">
        <f>IF(B55="","",VLOOKUP(B55,#REF!,2))</f>
        <v/>
      </c>
      <c r="I55" s="6" t="str">
        <f>IF(B55="","",VLOOKUP(B55,#REF!,3))</f>
        <v/>
      </c>
      <c r="J55" s="6"/>
      <c r="K55" s="6"/>
      <c r="L55" s="6"/>
      <c r="M55" s="6"/>
      <c r="N55" s="7" t="str">
        <f>IF(B55="","",VLOOKUP(B55,#REF!,4))</f>
        <v/>
      </c>
      <c r="Q55" s="1"/>
    </row>
    <row r="56" spans="8:17" x14ac:dyDescent="0.2">
      <c r="H56" s="6" t="str">
        <f>IF(B56="","",VLOOKUP(B56,#REF!,2))</f>
        <v/>
      </c>
      <c r="I56" s="6" t="str">
        <f>IF(B56="","",VLOOKUP(B56,#REF!,3))</f>
        <v/>
      </c>
      <c r="J56" s="6"/>
      <c r="K56" s="6"/>
      <c r="L56" s="6"/>
      <c r="M56" s="6"/>
      <c r="N56" s="7" t="str">
        <f>IF(B56="","",VLOOKUP(B56,#REF!,4))</f>
        <v/>
      </c>
      <c r="Q56" s="1"/>
    </row>
    <row r="57" spans="8:17" x14ac:dyDescent="0.2">
      <c r="H57" s="6" t="str">
        <f>IF(B57="","",VLOOKUP(B57,#REF!,2))</f>
        <v/>
      </c>
      <c r="I57" s="6" t="str">
        <f>IF(B57="","",VLOOKUP(B57,#REF!,3))</f>
        <v/>
      </c>
      <c r="J57" s="6"/>
      <c r="K57" s="6"/>
      <c r="L57" s="6"/>
      <c r="M57" s="6"/>
      <c r="N57" s="7" t="str">
        <f>IF(B57="","",VLOOKUP(B57,#REF!,4))</f>
        <v/>
      </c>
      <c r="Q57" s="1"/>
    </row>
    <row r="58" spans="8:17" x14ac:dyDescent="0.2">
      <c r="H58" s="6" t="str">
        <f>IF(B58="","",VLOOKUP(B58,#REF!,2))</f>
        <v/>
      </c>
      <c r="I58" s="6" t="str">
        <f>IF(B58="","",VLOOKUP(B58,#REF!,3))</f>
        <v/>
      </c>
      <c r="J58" s="6"/>
      <c r="K58" s="6"/>
      <c r="L58" s="6"/>
      <c r="M58" s="6"/>
      <c r="N58" s="7" t="str">
        <f>IF(B58="","",VLOOKUP(B58,#REF!,4))</f>
        <v/>
      </c>
      <c r="Q58" s="1"/>
    </row>
    <row r="59" spans="8:17" x14ac:dyDescent="0.2">
      <c r="H59" s="6" t="str">
        <f>IF(B59="","",VLOOKUP(B59,#REF!,2))</f>
        <v/>
      </c>
      <c r="I59" s="6" t="str">
        <f>IF(B59="","",VLOOKUP(B59,#REF!,3))</f>
        <v/>
      </c>
      <c r="J59" s="6"/>
      <c r="K59" s="6"/>
      <c r="L59" s="6"/>
      <c r="M59" s="6"/>
      <c r="N59" s="7" t="str">
        <f>IF(B59="","",VLOOKUP(B59,#REF!,4))</f>
        <v/>
      </c>
      <c r="Q59" s="1"/>
    </row>
    <row r="60" spans="8:17" x14ac:dyDescent="0.2">
      <c r="H60" s="6" t="str">
        <f>IF(B60="","",VLOOKUP(B60,#REF!,2))</f>
        <v/>
      </c>
      <c r="I60" s="6" t="str">
        <f>IF(B60="","",VLOOKUP(B60,#REF!,3))</f>
        <v/>
      </c>
      <c r="J60" s="6"/>
      <c r="K60" s="6"/>
      <c r="L60" s="6"/>
      <c r="M60" s="6"/>
      <c r="N60" s="7" t="str">
        <f>IF(B60="","",VLOOKUP(B60,#REF!,4))</f>
        <v/>
      </c>
      <c r="Q60" s="1"/>
    </row>
    <row r="61" spans="8:17" x14ac:dyDescent="0.2">
      <c r="H61" s="6" t="str">
        <f>IF(B61="","",VLOOKUP(B61,#REF!,2))</f>
        <v/>
      </c>
      <c r="I61" s="6" t="str">
        <f>IF(B61="","",VLOOKUP(B61,#REF!,3))</f>
        <v/>
      </c>
      <c r="J61" s="6"/>
      <c r="K61" s="6"/>
      <c r="L61" s="6"/>
      <c r="M61" s="6"/>
      <c r="N61" s="7" t="str">
        <f>IF(B61="","",VLOOKUP(B61,#REF!,4))</f>
        <v/>
      </c>
      <c r="Q61" s="1"/>
    </row>
    <row r="62" spans="8:17" x14ac:dyDescent="0.2">
      <c r="H62" s="6" t="str">
        <f>IF(B62="","",VLOOKUP(B62,#REF!,2))</f>
        <v/>
      </c>
      <c r="I62" s="6" t="str">
        <f>IF(B62="","",VLOOKUP(B62,#REF!,3))</f>
        <v/>
      </c>
      <c r="J62" s="6"/>
      <c r="K62" s="6"/>
      <c r="L62" s="6"/>
      <c r="M62" s="6"/>
      <c r="N62" s="7" t="str">
        <f>IF(B62="","",VLOOKUP(B62,#REF!,4))</f>
        <v/>
      </c>
      <c r="Q62" s="1"/>
    </row>
    <row r="63" spans="8:17" x14ac:dyDescent="0.2">
      <c r="H63" s="6" t="str">
        <f>IF(B63="","",VLOOKUP(B63,#REF!,2))</f>
        <v/>
      </c>
      <c r="I63" s="6" t="str">
        <f>IF(B63="","",VLOOKUP(B63,#REF!,3))</f>
        <v/>
      </c>
      <c r="J63" s="6"/>
      <c r="K63" s="6"/>
      <c r="L63" s="6"/>
      <c r="M63" s="6"/>
      <c r="N63" s="7" t="str">
        <f>IF(B63="","",VLOOKUP(B63,#REF!,4))</f>
        <v/>
      </c>
      <c r="Q63" s="1"/>
    </row>
    <row r="64" spans="8:17" x14ac:dyDescent="0.2">
      <c r="H64" s="6" t="str">
        <f>IF(B64="","",VLOOKUP(B64,#REF!,2))</f>
        <v/>
      </c>
      <c r="I64" s="6" t="str">
        <f>IF(B64="","",VLOOKUP(B64,#REF!,3))</f>
        <v/>
      </c>
      <c r="J64" s="6"/>
      <c r="K64" s="6"/>
      <c r="L64" s="6"/>
      <c r="M64" s="6"/>
      <c r="N64" s="7" t="str">
        <f>IF(B64="","",VLOOKUP(B64,#REF!,4))</f>
        <v/>
      </c>
      <c r="Q64" s="1"/>
    </row>
    <row r="65" spans="8:17" x14ac:dyDescent="0.2">
      <c r="H65" s="6" t="str">
        <f>IF(B65="","",VLOOKUP(B65,#REF!,2))</f>
        <v/>
      </c>
      <c r="I65" s="6" t="str">
        <f>IF(B65="","",VLOOKUP(B65,#REF!,3))</f>
        <v/>
      </c>
      <c r="J65" s="6"/>
      <c r="K65" s="6"/>
      <c r="L65" s="6"/>
      <c r="M65" s="6"/>
      <c r="N65" s="7" t="str">
        <f>IF(B65="","",VLOOKUP(B65,#REF!,4))</f>
        <v/>
      </c>
      <c r="Q65" s="1"/>
    </row>
    <row r="66" spans="8:17" x14ac:dyDescent="0.2">
      <c r="H66" s="6" t="str">
        <f>IF(B66="","",VLOOKUP(B66,#REF!,2))</f>
        <v/>
      </c>
      <c r="I66" s="6" t="str">
        <f>IF(B66="","",VLOOKUP(B66,#REF!,3))</f>
        <v/>
      </c>
      <c r="J66" s="6"/>
      <c r="K66" s="6"/>
      <c r="L66" s="6"/>
      <c r="M66" s="6"/>
      <c r="N66" s="7" t="str">
        <f>IF(B66="","",VLOOKUP(B66,#REF!,4))</f>
        <v/>
      </c>
      <c r="Q66" s="1"/>
    </row>
    <row r="67" spans="8:17" x14ac:dyDescent="0.2">
      <c r="H67" s="6" t="str">
        <f>IF(B67="","",VLOOKUP(B67,#REF!,2))</f>
        <v/>
      </c>
      <c r="I67" s="6" t="str">
        <f>IF(B67="","",VLOOKUP(B67,#REF!,3))</f>
        <v/>
      </c>
      <c r="J67" s="6"/>
      <c r="K67" s="6"/>
      <c r="L67" s="6"/>
      <c r="M67" s="6"/>
      <c r="N67" s="7" t="str">
        <f>IF(B67="","",VLOOKUP(B67,#REF!,4))</f>
        <v/>
      </c>
      <c r="Q67" s="1"/>
    </row>
    <row r="68" spans="8:17" x14ac:dyDescent="0.2">
      <c r="H68" s="6" t="str">
        <f>IF(B68="","",VLOOKUP(B68,#REF!,2))</f>
        <v/>
      </c>
      <c r="I68" s="6" t="str">
        <f>IF(B68="","",VLOOKUP(B68,#REF!,3))</f>
        <v/>
      </c>
      <c r="J68" s="6"/>
      <c r="K68" s="6"/>
      <c r="L68" s="6"/>
      <c r="M68" s="6"/>
      <c r="N68" s="7" t="str">
        <f>IF(B68="","",VLOOKUP(B68,#REF!,4))</f>
        <v/>
      </c>
      <c r="Q68" s="1"/>
    </row>
    <row r="69" spans="8:17" x14ac:dyDescent="0.2">
      <c r="H69" s="6" t="str">
        <f>IF(B69="","",VLOOKUP(B69,#REF!,2))</f>
        <v/>
      </c>
      <c r="I69" s="6" t="str">
        <f>IF(B69="","",VLOOKUP(B69,#REF!,3))</f>
        <v/>
      </c>
      <c r="J69" s="6"/>
      <c r="K69" s="6"/>
      <c r="L69" s="6"/>
      <c r="M69" s="6"/>
      <c r="N69" s="7" t="str">
        <f>IF(B69="","",VLOOKUP(B69,#REF!,4))</f>
        <v/>
      </c>
      <c r="Q69" s="1"/>
    </row>
    <row r="70" spans="8:17" x14ac:dyDescent="0.2">
      <c r="H70" s="6" t="str">
        <f>IF(B70="","",VLOOKUP(B70,#REF!,2))</f>
        <v/>
      </c>
      <c r="I70" s="6" t="str">
        <f>IF(B70="","",VLOOKUP(B70,#REF!,3))</f>
        <v/>
      </c>
      <c r="J70" s="6"/>
      <c r="K70" s="6"/>
      <c r="L70" s="6"/>
      <c r="M70" s="6"/>
      <c r="N70" s="7" t="str">
        <f>IF(B70="","",VLOOKUP(B70,#REF!,4))</f>
        <v/>
      </c>
      <c r="Q70" s="1"/>
    </row>
    <row r="71" spans="8:17" x14ac:dyDescent="0.2">
      <c r="H71" s="6" t="str">
        <f>IF(B71="","",VLOOKUP(B71,#REF!,2))</f>
        <v/>
      </c>
      <c r="I71" s="6" t="str">
        <f>IF(B71="","",VLOOKUP(B71,#REF!,3))</f>
        <v/>
      </c>
      <c r="J71" s="6"/>
      <c r="K71" s="6"/>
      <c r="L71" s="6"/>
      <c r="M71" s="6"/>
      <c r="N71" s="7" t="str">
        <f>IF(B71="","",VLOOKUP(B71,#REF!,4))</f>
        <v/>
      </c>
      <c r="Q71" s="1"/>
    </row>
    <row r="72" spans="8:17" x14ac:dyDescent="0.2">
      <c r="H72" s="6" t="str">
        <f>IF(B72="","",VLOOKUP(B72,#REF!,2))</f>
        <v/>
      </c>
      <c r="I72" s="6" t="str">
        <f>IF(B72="","",VLOOKUP(B72,#REF!,3))</f>
        <v/>
      </c>
      <c r="J72" s="6"/>
      <c r="K72" s="6"/>
      <c r="L72" s="6"/>
      <c r="M72" s="6"/>
      <c r="N72" s="7" t="str">
        <f>IF(B72="","",VLOOKUP(B72,#REF!,4))</f>
        <v/>
      </c>
      <c r="Q72" s="1"/>
    </row>
    <row r="73" spans="8:17" x14ac:dyDescent="0.2">
      <c r="H73" s="6" t="str">
        <f>IF(B73="","",VLOOKUP(B73,#REF!,2))</f>
        <v/>
      </c>
      <c r="I73" s="6" t="str">
        <f>IF(B73="","",VLOOKUP(B73,#REF!,3))</f>
        <v/>
      </c>
      <c r="J73" s="6"/>
      <c r="K73" s="6"/>
      <c r="L73" s="6"/>
      <c r="M73" s="6"/>
      <c r="N73" s="7" t="str">
        <f>IF(B73="","",VLOOKUP(B73,#REF!,4))</f>
        <v/>
      </c>
      <c r="Q73" s="1"/>
    </row>
    <row r="74" spans="8:17" x14ac:dyDescent="0.2">
      <c r="H74" s="6" t="str">
        <f>IF(B74="","",VLOOKUP(B74,#REF!,2))</f>
        <v/>
      </c>
      <c r="I74" s="6" t="str">
        <f>IF(B74="","",VLOOKUP(B74,#REF!,3))</f>
        <v/>
      </c>
      <c r="J74" s="6"/>
      <c r="K74" s="6"/>
      <c r="L74" s="6"/>
      <c r="M74" s="6"/>
      <c r="N74" s="7" t="str">
        <f>IF(B74="","",VLOOKUP(B74,#REF!,4))</f>
        <v/>
      </c>
      <c r="Q74" s="1"/>
    </row>
    <row r="75" spans="8:17" x14ac:dyDescent="0.2">
      <c r="H75" s="6" t="str">
        <f>IF(B75="","",VLOOKUP(B75,#REF!,2))</f>
        <v/>
      </c>
      <c r="I75" s="6" t="str">
        <f>IF(B75="","",VLOOKUP(B75,#REF!,3))</f>
        <v/>
      </c>
      <c r="J75" s="6"/>
      <c r="K75" s="6"/>
      <c r="L75" s="6"/>
      <c r="M75" s="6"/>
      <c r="N75" s="7" t="str">
        <f>IF(B75="","",VLOOKUP(B75,#REF!,4))</f>
        <v/>
      </c>
      <c r="Q75" s="1"/>
    </row>
    <row r="76" spans="8:17" x14ac:dyDescent="0.2">
      <c r="H76" s="6" t="str">
        <f>IF(B76="","",VLOOKUP(B76,#REF!,2))</f>
        <v/>
      </c>
      <c r="I76" s="6" t="str">
        <f>IF(B76="","",VLOOKUP(B76,#REF!,3))</f>
        <v/>
      </c>
      <c r="J76" s="6"/>
      <c r="K76" s="6"/>
      <c r="L76" s="6"/>
      <c r="M76" s="6"/>
      <c r="N76" s="7" t="str">
        <f>IF(B76="","",VLOOKUP(B76,#REF!,4))</f>
        <v/>
      </c>
      <c r="Q76" s="1"/>
    </row>
    <row r="77" spans="8:17" x14ac:dyDescent="0.2">
      <c r="H77" s="6" t="str">
        <f>IF(B77="","",VLOOKUP(B77,#REF!,2))</f>
        <v/>
      </c>
      <c r="I77" s="6" t="str">
        <f>IF(B77="","",VLOOKUP(B77,#REF!,3))</f>
        <v/>
      </c>
      <c r="J77" s="6"/>
      <c r="K77" s="6"/>
      <c r="L77" s="6"/>
      <c r="M77" s="6"/>
      <c r="N77" s="7" t="str">
        <f>IF(B77="","",VLOOKUP(B77,#REF!,4))</f>
        <v/>
      </c>
      <c r="Q77" s="1"/>
    </row>
    <row r="78" spans="8:17" x14ac:dyDescent="0.2">
      <c r="H78" s="6" t="str">
        <f>IF(B78="","",VLOOKUP(B78,#REF!,2))</f>
        <v/>
      </c>
      <c r="I78" s="6" t="str">
        <f>IF(B78="","",VLOOKUP(B78,#REF!,3))</f>
        <v/>
      </c>
      <c r="J78" s="6"/>
      <c r="K78" s="6"/>
      <c r="L78" s="6"/>
      <c r="M78" s="6"/>
      <c r="N78" s="7" t="str">
        <f>IF(B78="","",VLOOKUP(B78,#REF!,4))</f>
        <v/>
      </c>
      <c r="Q78" s="1"/>
    </row>
    <row r="79" spans="8:17" x14ac:dyDescent="0.2">
      <c r="H79" s="6" t="str">
        <f>IF(B79="","",VLOOKUP(B79,#REF!,2))</f>
        <v/>
      </c>
      <c r="I79" s="6" t="str">
        <f>IF(B79="","",VLOOKUP(B79,#REF!,3))</f>
        <v/>
      </c>
      <c r="J79" s="6"/>
      <c r="K79" s="6"/>
      <c r="L79" s="6"/>
      <c r="M79" s="6"/>
      <c r="N79" s="7" t="str">
        <f>IF(B79="","",VLOOKUP(B79,#REF!,4))</f>
        <v/>
      </c>
      <c r="Q79" s="1"/>
    </row>
    <row r="80" spans="8:17" x14ac:dyDescent="0.2">
      <c r="H80" s="6" t="str">
        <f>IF(B80="","",VLOOKUP(B80,#REF!,2))</f>
        <v/>
      </c>
      <c r="I80" s="6" t="str">
        <f>IF(B80="","",VLOOKUP(B80,#REF!,3))</f>
        <v/>
      </c>
      <c r="J80" s="6"/>
      <c r="K80" s="6"/>
      <c r="L80" s="6"/>
      <c r="M80" s="6"/>
      <c r="N80" s="7" t="str">
        <f>IF(B80="","",VLOOKUP(B80,#REF!,4))</f>
        <v/>
      </c>
      <c r="Q80" s="1"/>
    </row>
    <row r="81" spans="8:17" x14ac:dyDescent="0.2">
      <c r="H81" s="6" t="str">
        <f>IF(B81="","",VLOOKUP(B81,#REF!,2))</f>
        <v/>
      </c>
      <c r="I81" s="6" t="str">
        <f>IF(B81="","",VLOOKUP(B81,#REF!,3))</f>
        <v/>
      </c>
      <c r="J81" s="6"/>
      <c r="K81" s="6"/>
      <c r="L81" s="6"/>
      <c r="M81" s="6"/>
      <c r="N81" s="7" t="str">
        <f>IF(B81="","",VLOOKUP(B81,#REF!,4))</f>
        <v/>
      </c>
      <c r="Q81" s="1"/>
    </row>
    <row r="82" spans="8:17" x14ac:dyDescent="0.2">
      <c r="H82" s="6" t="str">
        <f>IF(B82="","",VLOOKUP(B82,#REF!,2))</f>
        <v/>
      </c>
      <c r="I82" s="6" t="str">
        <f>IF(B82="","",VLOOKUP(B82,#REF!,3))</f>
        <v/>
      </c>
      <c r="J82" s="6"/>
      <c r="K82" s="6"/>
      <c r="L82" s="6"/>
      <c r="M82" s="6"/>
      <c r="N82" s="7" t="str">
        <f>IF(B82="","",VLOOKUP(B82,#REF!,4))</f>
        <v/>
      </c>
      <c r="Q82" s="1"/>
    </row>
    <row r="83" spans="8:17" x14ac:dyDescent="0.2">
      <c r="H83" s="6" t="str">
        <f>IF(B83="","",VLOOKUP(B83,#REF!,2))</f>
        <v/>
      </c>
      <c r="I83" s="6" t="str">
        <f>IF(B83="","",VLOOKUP(B83,#REF!,3))</f>
        <v/>
      </c>
      <c r="J83" s="6"/>
      <c r="K83" s="6"/>
      <c r="L83" s="6"/>
      <c r="M83" s="6"/>
      <c r="N83" s="7" t="str">
        <f>IF(B83="","",VLOOKUP(B83,#REF!,4))</f>
        <v/>
      </c>
      <c r="Q83" s="1"/>
    </row>
    <row r="84" spans="8:17" x14ac:dyDescent="0.2">
      <c r="H84" s="6" t="str">
        <f>IF(B84="","",VLOOKUP(B84,#REF!,2))</f>
        <v/>
      </c>
      <c r="I84" s="6" t="str">
        <f>IF(B84="","",VLOOKUP(B84,#REF!,3))</f>
        <v/>
      </c>
      <c r="J84" s="6"/>
      <c r="K84" s="6"/>
      <c r="L84" s="6"/>
      <c r="M84" s="6"/>
      <c r="N84" s="7" t="str">
        <f>IF(B84="","",VLOOKUP(B84,#REF!,4))</f>
        <v/>
      </c>
      <c r="Q84" s="1"/>
    </row>
    <row r="85" spans="8:17" x14ac:dyDescent="0.2">
      <c r="H85" s="6" t="str">
        <f>IF(B85="","",VLOOKUP(B85,#REF!,2))</f>
        <v/>
      </c>
      <c r="I85" s="6" t="str">
        <f>IF(B85="","",VLOOKUP(B85,#REF!,3))</f>
        <v/>
      </c>
      <c r="J85" s="6"/>
      <c r="K85" s="6"/>
      <c r="L85" s="6"/>
      <c r="M85" s="6"/>
      <c r="N85" s="7" t="str">
        <f>IF(B85="","",VLOOKUP(B85,#REF!,4))</f>
        <v/>
      </c>
      <c r="Q85" s="1"/>
    </row>
    <row r="86" spans="8:17" x14ac:dyDescent="0.2">
      <c r="H86" s="6" t="str">
        <f>IF(B86="","",VLOOKUP(B86,#REF!,2))</f>
        <v/>
      </c>
      <c r="I86" s="6" t="str">
        <f>IF(B86="","",VLOOKUP(B86,#REF!,3))</f>
        <v/>
      </c>
      <c r="J86" s="6"/>
      <c r="K86" s="6"/>
      <c r="L86" s="6"/>
      <c r="M86" s="6"/>
      <c r="N86" s="7" t="str">
        <f>IF(B86="","",VLOOKUP(B86,#REF!,4))</f>
        <v/>
      </c>
      <c r="Q86" s="1"/>
    </row>
    <row r="87" spans="8:17" x14ac:dyDescent="0.2">
      <c r="H87" s="6" t="str">
        <f>IF(B87="","",VLOOKUP(B87,#REF!,2))</f>
        <v/>
      </c>
      <c r="I87" s="6" t="str">
        <f>IF(B87="","",VLOOKUP(B87,#REF!,3))</f>
        <v/>
      </c>
      <c r="J87" s="6"/>
      <c r="K87" s="6"/>
      <c r="L87" s="6"/>
      <c r="M87" s="6"/>
      <c r="N87" s="7" t="str">
        <f>IF(B87="","",VLOOKUP(B87,#REF!,4))</f>
        <v/>
      </c>
      <c r="Q87" s="1"/>
    </row>
    <row r="88" spans="8:17" x14ac:dyDescent="0.2">
      <c r="H88" s="6" t="str">
        <f>IF(B88="","",VLOOKUP(B88,#REF!,2))</f>
        <v/>
      </c>
      <c r="I88" s="6" t="str">
        <f>IF(B88="","",VLOOKUP(B88,#REF!,3))</f>
        <v/>
      </c>
      <c r="J88" s="6"/>
      <c r="K88" s="6"/>
      <c r="L88" s="6"/>
      <c r="M88" s="6"/>
      <c r="N88" s="7" t="str">
        <f>IF(B88="","",VLOOKUP(B88,#REF!,4))</f>
        <v/>
      </c>
      <c r="Q88" s="1"/>
    </row>
    <row r="89" spans="8:17" x14ac:dyDescent="0.2">
      <c r="H89" s="6" t="str">
        <f>IF(B89="","",VLOOKUP(B89,#REF!,2))</f>
        <v/>
      </c>
      <c r="I89" s="6" t="str">
        <f>IF(B89="","",VLOOKUP(B89,#REF!,3))</f>
        <v/>
      </c>
      <c r="J89" s="6"/>
      <c r="K89" s="6"/>
      <c r="L89" s="6"/>
      <c r="M89" s="6"/>
      <c r="N89" s="7" t="str">
        <f>IF(B89="","",VLOOKUP(B89,#REF!,4))</f>
        <v/>
      </c>
      <c r="Q89" s="1"/>
    </row>
    <row r="90" spans="8:17" x14ac:dyDescent="0.2">
      <c r="H90" s="6" t="str">
        <f>IF(B90="","",VLOOKUP(B90,#REF!,2))</f>
        <v/>
      </c>
      <c r="I90" s="6" t="str">
        <f>IF(B90="","",VLOOKUP(B90,#REF!,3))</f>
        <v/>
      </c>
      <c r="J90" s="6"/>
      <c r="K90" s="6"/>
      <c r="L90" s="6"/>
      <c r="M90" s="6"/>
      <c r="N90" s="7" t="str">
        <f>IF(B90="","",VLOOKUP(B90,#REF!,4))</f>
        <v/>
      </c>
      <c r="Q90" s="1"/>
    </row>
    <row r="91" spans="8:17" x14ac:dyDescent="0.2">
      <c r="H91" s="6" t="str">
        <f>IF(B91="","",VLOOKUP(B91,#REF!,2))</f>
        <v/>
      </c>
      <c r="I91" s="6" t="str">
        <f>IF(B91="","",VLOOKUP(B91,#REF!,3))</f>
        <v/>
      </c>
      <c r="J91" s="6"/>
      <c r="K91" s="6"/>
      <c r="L91" s="6"/>
      <c r="M91" s="6"/>
      <c r="N91" s="7" t="str">
        <f>IF(B91="","",VLOOKUP(B91,#REF!,4))</f>
        <v/>
      </c>
      <c r="Q91" s="1"/>
    </row>
    <row r="92" spans="8:17" x14ac:dyDescent="0.2">
      <c r="H92" s="6" t="str">
        <f>IF(B92="","",VLOOKUP(B92,#REF!,2))</f>
        <v/>
      </c>
      <c r="I92" s="6" t="str">
        <f>IF(B92="","",VLOOKUP(B92,#REF!,3))</f>
        <v/>
      </c>
      <c r="J92" s="6"/>
      <c r="K92" s="6"/>
      <c r="L92" s="6"/>
      <c r="M92" s="6"/>
      <c r="N92" s="7" t="str">
        <f>IF(B92="","",VLOOKUP(B92,#REF!,4))</f>
        <v/>
      </c>
      <c r="Q92" s="1"/>
    </row>
    <row r="93" spans="8:17" x14ac:dyDescent="0.2">
      <c r="H93" s="6" t="str">
        <f>IF(B93="","",VLOOKUP(B93,#REF!,2))</f>
        <v/>
      </c>
      <c r="I93" s="6" t="str">
        <f>IF(B93="","",VLOOKUP(B93,#REF!,3))</f>
        <v/>
      </c>
      <c r="J93" s="6"/>
      <c r="K93" s="6"/>
      <c r="L93" s="6"/>
      <c r="M93" s="6"/>
      <c r="N93" s="7" t="str">
        <f>IF(B93="","",VLOOKUP(B93,#REF!,4))</f>
        <v/>
      </c>
      <c r="Q93" s="1"/>
    </row>
    <row r="94" spans="8:17" x14ac:dyDescent="0.2">
      <c r="H94" s="6" t="str">
        <f>IF(B94="","",VLOOKUP(B94,#REF!,2))</f>
        <v/>
      </c>
      <c r="I94" s="6" t="str">
        <f>IF(B94="","",VLOOKUP(B94,#REF!,3))</f>
        <v/>
      </c>
      <c r="J94" s="6"/>
      <c r="K94" s="6"/>
      <c r="L94" s="6"/>
      <c r="M94" s="6"/>
      <c r="N94" s="7" t="str">
        <f>IF(B94="","",VLOOKUP(B94,#REF!,4))</f>
        <v/>
      </c>
      <c r="Q94" s="1"/>
    </row>
    <row r="95" spans="8:17" x14ac:dyDescent="0.2">
      <c r="H95" s="6" t="str">
        <f>IF(B95="","",VLOOKUP(B95,#REF!,2))</f>
        <v/>
      </c>
      <c r="I95" s="6" t="str">
        <f>IF(B95="","",VLOOKUP(B95,#REF!,3))</f>
        <v/>
      </c>
      <c r="J95" s="6"/>
      <c r="K95" s="6"/>
      <c r="L95" s="6"/>
      <c r="M95" s="6"/>
      <c r="N95" s="7" t="str">
        <f>IF(B95="","",VLOOKUP(B95,#REF!,4))</f>
        <v/>
      </c>
      <c r="Q95" s="1"/>
    </row>
    <row r="96" spans="8:17" x14ac:dyDescent="0.2">
      <c r="H96" s="6" t="str">
        <f>IF(B96="","",VLOOKUP(B96,#REF!,2))</f>
        <v/>
      </c>
      <c r="I96" s="6" t="str">
        <f>IF(B96="","",VLOOKUP(B96,#REF!,3))</f>
        <v/>
      </c>
      <c r="J96" s="6"/>
      <c r="K96" s="6"/>
      <c r="L96" s="6"/>
      <c r="M96" s="6"/>
      <c r="N96" s="7" t="str">
        <f>IF(B96="","",VLOOKUP(B96,#REF!,4))</f>
        <v/>
      </c>
      <c r="Q96" s="1"/>
    </row>
    <row r="97" spans="8:17" x14ac:dyDescent="0.2">
      <c r="H97" s="6" t="str">
        <f>IF(B97="","",VLOOKUP(B97,#REF!,2))</f>
        <v/>
      </c>
      <c r="I97" s="6" t="str">
        <f>IF(B97="","",VLOOKUP(B97,#REF!,3))</f>
        <v/>
      </c>
      <c r="J97" s="6"/>
      <c r="K97" s="6"/>
      <c r="L97" s="6"/>
      <c r="M97" s="6"/>
      <c r="N97" s="7" t="str">
        <f>IF(B97="","",VLOOKUP(B97,#REF!,4))</f>
        <v/>
      </c>
      <c r="Q97" s="1"/>
    </row>
    <row r="98" spans="8:17" x14ac:dyDescent="0.2">
      <c r="H98" s="6" t="str">
        <f>IF(B98="","",VLOOKUP(B98,#REF!,2))</f>
        <v/>
      </c>
      <c r="I98" s="6" t="str">
        <f>IF(B98="","",VLOOKUP(B98,#REF!,3))</f>
        <v/>
      </c>
      <c r="J98" s="6"/>
      <c r="K98" s="6"/>
      <c r="L98" s="6"/>
      <c r="M98" s="6"/>
      <c r="N98" s="7" t="str">
        <f>IF(B98="","",VLOOKUP(B98,#REF!,4))</f>
        <v/>
      </c>
      <c r="Q98" s="1"/>
    </row>
    <row r="99" spans="8:17" x14ac:dyDescent="0.2">
      <c r="H99" s="6" t="str">
        <f>IF(B99="","",VLOOKUP(B99,#REF!,2))</f>
        <v/>
      </c>
      <c r="I99" s="6" t="str">
        <f>IF(B99="","",VLOOKUP(B99,#REF!,3))</f>
        <v/>
      </c>
      <c r="J99" s="6"/>
      <c r="K99" s="6"/>
      <c r="L99" s="6"/>
      <c r="M99" s="6"/>
      <c r="N99" s="7" t="str">
        <f>IF(B99="","",VLOOKUP(B99,#REF!,4))</f>
        <v/>
      </c>
      <c r="Q99" s="1"/>
    </row>
    <row r="100" spans="8:17" x14ac:dyDescent="0.2">
      <c r="H100" s="6" t="str">
        <f>IF(B100="","",VLOOKUP(B100,#REF!,2))</f>
        <v/>
      </c>
      <c r="I100" s="6" t="str">
        <f>IF(B100="","",VLOOKUP(B100,#REF!,3))</f>
        <v/>
      </c>
      <c r="J100" s="6"/>
      <c r="K100" s="6"/>
      <c r="L100" s="6"/>
      <c r="M100" s="6"/>
      <c r="N100" s="7" t="str">
        <f>IF(B100="","",VLOOKUP(B100,#REF!,4))</f>
        <v/>
      </c>
      <c r="Q100" s="1"/>
    </row>
    <row r="101" spans="8:17" x14ac:dyDescent="0.2">
      <c r="H101" s="6" t="str">
        <f>IF(B101="","",VLOOKUP(B101,#REF!,2))</f>
        <v/>
      </c>
      <c r="I101" s="6" t="str">
        <f>IF(B101="","",VLOOKUP(B101,#REF!,3))</f>
        <v/>
      </c>
      <c r="J101" s="6"/>
      <c r="K101" s="6"/>
      <c r="L101" s="6"/>
      <c r="M101" s="6"/>
      <c r="N101" s="7" t="str">
        <f>IF(B101="","",VLOOKUP(B101,#REF!,4))</f>
        <v/>
      </c>
      <c r="Q101" s="1"/>
    </row>
    <row r="102" spans="8:17" x14ac:dyDescent="0.2">
      <c r="H102" s="6" t="str">
        <f>IF(B102="","",VLOOKUP(B102,#REF!,2))</f>
        <v/>
      </c>
      <c r="I102" s="6" t="str">
        <f>IF(B102="","",VLOOKUP(B102,#REF!,3))</f>
        <v/>
      </c>
      <c r="J102" s="6"/>
      <c r="K102" s="6"/>
      <c r="L102" s="6"/>
      <c r="M102" s="6"/>
      <c r="N102" s="7" t="str">
        <f>IF(B102="","",VLOOKUP(B102,#REF!,4))</f>
        <v/>
      </c>
      <c r="Q102" s="1"/>
    </row>
    <row r="103" spans="8:17" x14ac:dyDescent="0.2">
      <c r="H103" s="6" t="str">
        <f>IF(B103="","",VLOOKUP(B103,#REF!,2))</f>
        <v/>
      </c>
      <c r="I103" s="6" t="str">
        <f>IF(B103="","",VLOOKUP(B103,#REF!,3))</f>
        <v/>
      </c>
      <c r="J103" s="6"/>
      <c r="K103" s="6"/>
      <c r="L103" s="6"/>
      <c r="M103" s="6"/>
      <c r="N103" s="7" t="str">
        <f>IF(B103="","",VLOOKUP(B103,#REF!,4))</f>
        <v/>
      </c>
      <c r="Q103" s="1"/>
    </row>
    <row r="104" spans="8:17" x14ac:dyDescent="0.2">
      <c r="H104" s="6" t="str">
        <f>IF(B104="","",VLOOKUP(B104,#REF!,2))</f>
        <v/>
      </c>
      <c r="I104" s="6" t="str">
        <f>IF(B104="","",VLOOKUP(B104,#REF!,3))</f>
        <v/>
      </c>
      <c r="J104" s="6"/>
      <c r="K104" s="6"/>
      <c r="L104" s="6"/>
      <c r="M104" s="6"/>
      <c r="N104" s="7" t="str">
        <f>IF(B104="","",VLOOKUP(B104,#REF!,4))</f>
        <v/>
      </c>
      <c r="Q104" s="1"/>
    </row>
    <row r="105" spans="8:17" x14ac:dyDescent="0.2">
      <c r="H105" s="6" t="str">
        <f>IF(B105="","",VLOOKUP(B105,#REF!,2))</f>
        <v/>
      </c>
      <c r="I105" s="6" t="str">
        <f>IF(B105="","",VLOOKUP(B105,#REF!,3))</f>
        <v/>
      </c>
      <c r="J105" s="6"/>
      <c r="K105" s="6"/>
      <c r="L105" s="6"/>
      <c r="M105" s="6"/>
      <c r="N105" s="7" t="str">
        <f>IF(B105="","",VLOOKUP(B105,#REF!,4))</f>
        <v/>
      </c>
      <c r="Q105" s="1"/>
    </row>
    <row r="106" spans="8:17" x14ac:dyDescent="0.2">
      <c r="H106" s="6" t="str">
        <f>IF(B106="","",VLOOKUP(B106,#REF!,2))</f>
        <v/>
      </c>
      <c r="I106" s="6" t="str">
        <f>IF(B106="","",VLOOKUP(B106,#REF!,3))</f>
        <v/>
      </c>
      <c r="J106" s="6"/>
      <c r="K106" s="6"/>
      <c r="L106" s="6"/>
      <c r="M106" s="6"/>
      <c r="N106" s="7" t="str">
        <f>IF(B106="","",VLOOKUP(B106,#REF!,4))</f>
        <v/>
      </c>
      <c r="Q106" s="1"/>
    </row>
    <row r="107" spans="8:17" x14ac:dyDescent="0.2">
      <c r="H107" s="6" t="str">
        <f>IF(B107="","",VLOOKUP(B107,#REF!,2))</f>
        <v/>
      </c>
      <c r="I107" s="6" t="str">
        <f>IF(B107="","",VLOOKUP(B107,#REF!,3))</f>
        <v/>
      </c>
      <c r="J107" s="6"/>
      <c r="K107" s="6"/>
      <c r="L107" s="6"/>
      <c r="M107" s="6"/>
      <c r="N107" s="7" t="str">
        <f>IF(B107="","",VLOOKUP(B107,#REF!,4))</f>
        <v/>
      </c>
      <c r="Q107" s="1"/>
    </row>
    <row r="108" spans="8:17" x14ac:dyDescent="0.2">
      <c r="H108" s="6" t="str">
        <f>IF(B108="","",VLOOKUP(B108,#REF!,2))</f>
        <v/>
      </c>
      <c r="I108" s="6" t="str">
        <f>IF(B108="","",VLOOKUP(B108,#REF!,3))</f>
        <v/>
      </c>
      <c r="J108" s="6"/>
      <c r="K108" s="6"/>
      <c r="L108" s="6"/>
      <c r="M108" s="6"/>
      <c r="N108" s="7" t="str">
        <f>IF(B108="","",VLOOKUP(B108,#REF!,4))</f>
        <v/>
      </c>
      <c r="Q108" s="1"/>
    </row>
    <row r="109" spans="8:17" x14ac:dyDescent="0.2">
      <c r="H109" s="6" t="str">
        <f>IF(B109="","",VLOOKUP(B109,#REF!,2))</f>
        <v/>
      </c>
      <c r="I109" s="6" t="str">
        <f>IF(B109="","",VLOOKUP(B109,#REF!,3))</f>
        <v/>
      </c>
      <c r="J109" s="6"/>
      <c r="K109" s="6"/>
      <c r="L109" s="6"/>
      <c r="M109" s="6"/>
      <c r="N109" s="7" t="str">
        <f>IF(B109="","",VLOOKUP(B109,#REF!,4))</f>
        <v/>
      </c>
      <c r="Q109" s="1"/>
    </row>
    <row r="110" spans="8:17" x14ac:dyDescent="0.2">
      <c r="H110" s="6" t="str">
        <f>IF(B110="","",VLOOKUP(B110,#REF!,2))</f>
        <v/>
      </c>
      <c r="I110" s="6" t="str">
        <f>IF(B110="","",VLOOKUP(B110,#REF!,3))</f>
        <v/>
      </c>
      <c r="J110" s="6"/>
      <c r="K110" s="6"/>
      <c r="L110" s="6"/>
      <c r="M110" s="6"/>
      <c r="N110" s="7" t="str">
        <f>IF(B110="","",VLOOKUP(B110,#REF!,4))</f>
        <v/>
      </c>
      <c r="Q110" s="1"/>
    </row>
    <row r="111" spans="8:17" x14ac:dyDescent="0.2">
      <c r="H111" s="6" t="str">
        <f>IF(B111="","",VLOOKUP(B111,#REF!,2))</f>
        <v/>
      </c>
      <c r="I111" s="6" t="str">
        <f>IF(B111="","",VLOOKUP(B111,#REF!,3))</f>
        <v/>
      </c>
      <c r="J111" s="6"/>
      <c r="K111" s="6"/>
      <c r="L111" s="6"/>
      <c r="M111" s="6"/>
      <c r="N111" s="7" t="str">
        <f>IF(B111="","",VLOOKUP(B111,#REF!,4))</f>
        <v/>
      </c>
      <c r="Q111" s="1"/>
    </row>
    <row r="112" spans="8:17" x14ac:dyDescent="0.2">
      <c r="H112" s="6" t="str">
        <f>IF(B112="","",VLOOKUP(B112,#REF!,2))</f>
        <v/>
      </c>
      <c r="I112" s="6" t="str">
        <f>IF(B112="","",VLOOKUP(B112,#REF!,3))</f>
        <v/>
      </c>
      <c r="J112" s="6"/>
      <c r="K112" s="6"/>
      <c r="L112" s="6"/>
      <c r="M112" s="6"/>
      <c r="N112" s="7" t="str">
        <f>IF(B112="","",VLOOKUP(B112,#REF!,4))</f>
        <v/>
      </c>
      <c r="Q112" s="1"/>
    </row>
    <row r="113" spans="8:17" x14ac:dyDescent="0.2">
      <c r="H113" s="6" t="str">
        <f>IF(B113="","",VLOOKUP(B113,#REF!,2))</f>
        <v/>
      </c>
      <c r="I113" s="6" t="str">
        <f>IF(B113="","",VLOOKUP(B113,#REF!,3))</f>
        <v/>
      </c>
      <c r="J113" s="6"/>
      <c r="K113" s="6"/>
      <c r="L113" s="6"/>
      <c r="M113" s="6"/>
      <c r="N113" s="7" t="str">
        <f>IF(B113="","",VLOOKUP(B113,#REF!,4))</f>
        <v/>
      </c>
      <c r="Q113" s="1"/>
    </row>
    <row r="114" spans="8:17" x14ac:dyDescent="0.2">
      <c r="H114" s="6" t="str">
        <f>IF(B114="","",VLOOKUP(B114,#REF!,2))</f>
        <v/>
      </c>
      <c r="I114" s="6" t="str">
        <f>IF(B114="","",VLOOKUP(B114,#REF!,3))</f>
        <v/>
      </c>
      <c r="J114" s="6"/>
      <c r="K114" s="6"/>
      <c r="L114" s="6"/>
      <c r="M114" s="6"/>
      <c r="N114" s="7" t="str">
        <f>IF(B114="","",VLOOKUP(B114,#REF!,4))</f>
        <v/>
      </c>
      <c r="Q114" s="1"/>
    </row>
    <row r="115" spans="8:17" x14ac:dyDescent="0.2">
      <c r="H115" s="6" t="str">
        <f>IF(B115="","",VLOOKUP(B115,#REF!,2))</f>
        <v/>
      </c>
      <c r="I115" s="6" t="str">
        <f>IF(B115="","",VLOOKUP(B115,#REF!,3))</f>
        <v/>
      </c>
      <c r="J115" s="6"/>
      <c r="K115" s="6"/>
      <c r="L115" s="6"/>
      <c r="M115" s="6"/>
      <c r="N115" s="7" t="str">
        <f>IF(B115="","",VLOOKUP(B115,#REF!,4))</f>
        <v/>
      </c>
      <c r="Q115" s="1"/>
    </row>
    <row r="116" spans="8:17" x14ac:dyDescent="0.2">
      <c r="H116" s="6" t="str">
        <f>IF(B116="","",VLOOKUP(B116,#REF!,2))</f>
        <v/>
      </c>
      <c r="I116" s="6" t="str">
        <f>IF(B116="","",VLOOKUP(B116,#REF!,3))</f>
        <v/>
      </c>
      <c r="J116" s="6"/>
      <c r="K116" s="6"/>
      <c r="L116" s="6"/>
      <c r="M116" s="6"/>
      <c r="N116" s="7" t="str">
        <f>IF(B116="","",VLOOKUP(B116,#REF!,4))</f>
        <v/>
      </c>
      <c r="Q116" s="1"/>
    </row>
    <row r="117" spans="8:17" x14ac:dyDescent="0.2">
      <c r="H117" s="6" t="str">
        <f>IF(B117="","",VLOOKUP(B117,#REF!,2))</f>
        <v/>
      </c>
      <c r="I117" s="6" t="str">
        <f>IF(B117="","",VLOOKUP(B117,#REF!,3))</f>
        <v/>
      </c>
      <c r="J117" s="6"/>
      <c r="K117" s="6"/>
      <c r="L117" s="6"/>
      <c r="M117" s="6"/>
      <c r="N117" s="7" t="str">
        <f>IF(B117="","",VLOOKUP(B117,#REF!,4))</f>
        <v/>
      </c>
      <c r="Q117" s="1"/>
    </row>
    <row r="118" spans="8:17" x14ac:dyDescent="0.2">
      <c r="H118" s="6" t="str">
        <f>IF(B118="","",VLOOKUP(B118,#REF!,2))</f>
        <v/>
      </c>
      <c r="I118" s="6" t="str">
        <f>IF(B118="","",VLOOKUP(B118,#REF!,3))</f>
        <v/>
      </c>
      <c r="J118" s="6"/>
      <c r="K118" s="6"/>
      <c r="L118" s="6"/>
      <c r="M118" s="6"/>
      <c r="N118" s="7" t="str">
        <f>IF(B118="","",VLOOKUP(B118,#REF!,4))</f>
        <v/>
      </c>
      <c r="Q118" s="1"/>
    </row>
    <row r="119" spans="8:17" x14ac:dyDescent="0.2">
      <c r="H119" s="6" t="str">
        <f>IF(B119="","",VLOOKUP(B119,#REF!,2))</f>
        <v/>
      </c>
      <c r="I119" s="6" t="str">
        <f>IF(B119="","",VLOOKUP(B119,#REF!,3))</f>
        <v/>
      </c>
      <c r="J119" s="6"/>
      <c r="K119" s="6"/>
      <c r="L119" s="6"/>
      <c r="M119" s="6"/>
      <c r="N119" s="7" t="str">
        <f>IF(B119="","",VLOOKUP(B119,#REF!,4))</f>
        <v/>
      </c>
      <c r="Q119" s="1"/>
    </row>
  </sheetData>
  <dataConsolidate>
    <dataRefs count="2">
      <dataRef ref="A1:L11" sheet="Refrigeration BOM(Markup)" r:id="rId1"/>
      <dataRef ref="A1:H3" sheet="Sheet1" r:id="rId2"/>
    </dataRefs>
  </dataConsolidate>
  <mergeCells count="157">
    <mergeCell ref="B41:C41"/>
    <mergeCell ref="D41:E41"/>
    <mergeCell ref="F41:H41"/>
    <mergeCell ref="I41:M41"/>
    <mergeCell ref="B38:C38"/>
    <mergeCell ref="D38:E38"/>
    <mergeCell ref="F38:H38"/>
    <mergeCell ref="I38:M38"/>
    <mergeCell ref="B39:C39"/>
    <mergeCell ref="D39:E39"/>
    <mergeCell ref="F39:H39"/>
    <mergeCell ref="I39:M39"/>
    <mergeCell ref="B40:C40"/>
    <mergeCell ref="D40:E40"/>
    <mergeCell ref="F40:H40"/>
    <mergeCell ref="I40:M40"/>
    <mergeCell ref="B35:C35"/>
    <mergeCell ref="D35:E35"/>
    <mergeCell ref="F35:H35"/>
    <mergeCell ref="I35:M35"/>
    <mergeCell ref="B36:C36"/>
    <mergeCell ref="D36:E36"/>
    <mergeCell ref="F36:H36"/>
    <mergeCell ref="I36:M36"/>
    <mergeCell ref="B37:C37"/>
    <mergeCell ref="D37:E37"/>
    <mergeCell ref="F37:H37"/>
    <mergeCell ref="I37:M37"/>
    <mergeCell ref="B32:C32"/>
    <mergeCell ref="D32:E32"/>
    <mergeCell ref="F32:H32"/>
    <mergeCell ref="I32:M32"/>
    <mergeCell ref="B33:C33"/>
    <mergeCell ref="D33:E33"/>
    <mergeCell ref="F33:H33"/>
    <mergeCell ref="I33:M33"/>
    <mergeCell ref="B34:C34"/>
    <mergeCell ref="D34:E34"/>
    <mergeCell ref="F34:H34"/>
    <mergeCell ref="I34:M34"/>
    <mergeCell ref="B29:C29"/>
    <mergeCell ref="D29:E29"/>
    <mergeCell ref="F29:H29"/>
    <mergeCell ref="I29:M29"/>
    <mergeCell ref="B30:C30"/>
    <mergeCell ref="D30:E30"/>
    <mergeCell ref="F30:H30"/>
    <mergeCell ref="I30:M30"/>
    <mergeCell ref="B31:C31"/>
    <mergeCell ref="D31:E31"/>
    <mergeCell ref="F31:H31"/>
    <mergeCell ref="I31:M31"/>
    <mergeCell ref="B26:C26"/>
    <mergeCell ref="D26:E26"/>
    <mergeCell ref="F26:H26"/>
    <mergeCell ref="I26:M26"/>
    <mergeCell ref="B27:C27"/>
    <mergeCell ref="D27:E27"/>
    <mergeCell ref="F27:H27"/>
    <mergeCell ref="I27:M27"/>
    <mergeCell ref="B28:C28"/>
    <mergeCell ref="D28:E28"/>
    <mergeCell ref="F28:H28"/>
    <mergeCell ref="I28:M28"/>
    <mergeCell ref="B23:C23"/>
    <mergeCell ref="D23:E23"/>
    <mergeCell ref="F23:H23"/>
    <mergeCell ref="I23:M23"/>
    <mergeCell ref="B24:C24"/>
    <mergeCell ref="D24:E24"/>
    <mergeCell ref="F24:H24"/>
    <mergeCell ref="I24:M24"/>
    <mergeCell ref="B25:C25"/>
    <mergeCell ref="D25:E25"/>
    <mergeCell ref="F25:H25"/>
    <mergeCell ref="I25:M25"/>
    <mergeCell ref="B20:C20"/>
    <mergeCell ref="D20:E20"/>
    <mergeCell ref="F20:H20"/>
    <mergeCell ref="I20:M20"/>
    <mergeCell ref="B21:C21"/>
    <mergeCell ref="D21:E21"/>
    <mergeCell ref="F21:H21"/>
    <mergeCell ref="I21:M21"/>
    <mergeCell ref="B22:C22"/>
    <mergeCell ref="D22:E22"/>
    <mergeCell ref="F22:H22"/>
    <mergeCell ref="I22:M22"/>
    <mergeCell ref="B17:C17"/>
    <mergeCell ref="D17:E17"/>
    <mergeCell ref="F17:H17"/>
    <mergeCell ref="I17:M17"/>
    <mergeCell ref="B18:C18"/>
    <mergeCell ref="D18:E18"/>
    <mergeCell ref="F18:H18"/>
    <mergeCell ref="I18:M18"/>
    <mergeCell ref="B19:C19"/>
    <mergeCell ref="D19:E19"/>
    <mergeCell ref="F19:H19"/>
    <mergeCell ref="I19:M19"/>
    <mergeCell ref="B14:C14"/>
    <mergeCell ref="D14:E14"/>
    <mergeCell ref="F14:H14"/>
    <mergeCell ref="I14:M14"/>
    <mergeCell ref="B15:C15"/>
    <mergeCell ref="D15:E15"/>
    <mergeCell ref="F15:H15"/>
    <mergeCell ref="I15:M15"/>
    <mergeCell ref="B16:C16"/>
    <mergeCell ref="D16:E16"/>
    <mergeCell ref="F16:H16"/>
    <mergeCell ref="I16:M16"/>
    <mergeCell ref="B11:C11"/>
    <mergeCell ref="D11:E11"/>
    <mergeCell ref="F11:H11"/>
    <mergeCell ref="I11:M11"/>
    <mergeCell ref="B12:C12"/>
    <mergeCell ref="D12:E12"/>
    <mergeCell ref="F12:H12"/>
    <mergeCell ref="I12:M12"/>
    <mergeCell ref="B13:C13"/>
    <mergeCell ref="D13:E13"/>
    <mergeCell ref="F13:H13"/>
    <mergeCell ref="I13:M13"/>
    <mergeCell ref="A1:N1"/>
    <mergeCell ref="A2:B2"/>
    <mergeCell ref="C2:G2"/>
    <mergeCell ref="I2:J2"/>
    <mergeCell ref="K2:M2"/>
    <mergeCell ref="A3:B3"/>
    <mergeCell ref="C3:G3"/>
    <mergeCell ref="I3:J3"/>
    <mergeCell ref="K3:M3"/>
    <mergeCell ref="B42:C42"/>
    <mergeCell ref="D42:E42"/>
    <mergeCell ref="F42:H42"/>
    <mergeCell ref="I42:M42"/>
    <mergeCell ref="A4:B4"/>
    <mergeCell ref="C4:E4"/>
    <mergeCell ref="I4:J4"/>
    <mergeCell ref="K4:M4"/>
    <mergeCell ref="A5:B5"/>
    <mergeCell ref="C5:D5"/>
    <mergeCell ref="I5:J5"/>
    <mergeCell ref="K5:L5"/>
    <mergeCell ref="B7:C7"/>
    <mergeCell ref="D7:E7"/>
    <mergeCell ref="F7:H7"/>
    <mergeCell ref="I7:M7"/>
    <mergeCell ref="B9:C9"/>
    <mergeCell ref="D9:E9"/>
    <mergeCell ref="F9:H9"/>
    <mergeCell ref="I9:M9"/>
    <mergeCell ref="B10:C10"/>
    <mergeCell ref="D10:E10"/>
    <mergeCell ref="F10:H10"/>
    <mergeCell ref="I10:M10"/>
  </mergeCells>
  <dataValidations disablePrompts="1" count="1">
    <dataValidation type="list" allowBlank="1" showInputMessage="1" sqref="B43:C119">
      <formula1>#REF!</formula1>
    </dataValidation>
  </dataValidations>
  <pageMargins left="0.7" right="0.7" top="0.75" bottom="0.75" header="0.3" footer="0.3"/>
  <pageSetup scale="84" fitToHeight="0" orientation="portrait" r:id="rId3"/>
  <headerFooter>
    <oddFooter>&amp;L&amp;F&amp;RPage &amp;P/&amp;N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6" name="Button 1">
              <controlPr defaultSize="0" print="0" autoFill="0" autoPict="0" macro="[0]!ExportBoM">
                <anchor moveWithCells="1" sizeWithCells="1">
                  <from>
                    <xdr:col>15</xdr:col>
                    <xdr:colOff>9525</xdr:colOff>
                    <xdr:row>1</xdr:row>
                    <xdr:rowOff>0</xdr:rowOff>
                  </from>
                  <to>
                    <xdr:col>16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7" name="Button 2">
              <controlPr defaultSize="0" print="0" autoFill="0" autoPict="0" macro="[0]!import_BoM_from_ref_job_old">
                <anchor moveWithCells="1" sizeWithCells="1">
                  <from>
                    <xdr:col>15</xdr:col>
                    <xdr:colOff>9525</xdr:colOff>
                    <xdr:row>4</xdr:row>
                    <xdr:rowOff>0</xdr:rowOff>
                  </from>
                  <to>
                    <xdr:col>16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8" name="Button 3">
              <controlPr defaultSize="0" print="0" autoFill="0" autoPict="0" macro="[0]!VisImport">
                <anchor moveWithCells="1" sizeWithCells="1">
                  <from>
                    <xdr:col>18</xdr:col>
                    <xdr:colOff>9525</xdr:colOff>
                    <xdr:row>1</xdr:row>
                    <xdr:rowOff>0</xdr:rowOff>
                  </from>
                  <to>
                    <xdr:col>19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9" name="Button 5">
              <controlPr defaultSize="0" print="0" autoFill="0" autoPict="0" macro="[0]!MakeStaticSheet">
                <anchor moveWithCells="1" sizeWithCells="1">
                  <from>
                    <xdr:col>21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0" name="Button 12">
              <controlPr defaultSize="0" print="0" autoFill="0" autoPict="0" macro="[0]!ConvertECMarkup">
                <anchor moveWithCells="1" sizeWithCells="1">
                  <from>
                    <xdr:col>24</xdr:col>
                    <xdr:colOff>9525</xdr:colOff>
                    <xdr:row>1</xdr:row>
                    <xdr:rowOff>0</xdr:rowOff>
                  </from>
                  <to>
                    <xdr:col>25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1" name="Button 15">
              <controlPr defaultSize="0" print="0" autoFill="0" autoPict="0" macro="[0]!ec_markup_generator_old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22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2" name="Button 16">
              <controlPr defaultSize="0" print="0" autoFill="0" autoPict="0" macro="[0]!import_BoM_from_ref_job_new">
                <anchor moveWithCells="1" sizeWithCells="1">
                  <from>
                    <xdr:col>18</xdr:col>
                    <xdr:colOff>9525</xdr:colOff>
                    <xdr:row>4</xdr:row>
                    <xdr:rowOff>0</xdr:rowOff>
                  </from>
                  <to>
                    <xdr:col>19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3" name="Button 17">
              <controlPr defaultSize="0" print="0" autoFill="0" autoPict="0" macro="[0]!ec_markup_one_row">
                <anchor moveWithCells="1" sizeWithCells="1">
                  <from>
                    <xdr:col>27</xdr:col>
                    <xdr:colOff>9525</xdr:colOff>
                    <xdr:row>4</xdr:row>
                    <xdr:rowOff>0</xdr:rowOff>
                  </from>
                  <to>
                    <xdr:col>28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4" name="Button 18">
              <controlPr defaultSize="0" print="0" autoFill="0" autoPict="0" macro="[0]!import_BoM_from_ref_job_new">
                <anchor moveWithCells="1" sizeWithCells="1">
                  <from>
                    <xdr:col>24</xdr:col>
                    <xdr:colOff>9525</xdr:colOff>
                    <xdr:row>4</xdr:row>
                    <xdr:rowOff>0</xdr:rowOff>
                  </from>
                  <to>
                    <xdr:col>25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'Voltage Codes'!$F$2:$F$18</xm:f>
          </x14:formula1>
          <xm:sqref>K2:M2</xm:sqref>
        </x14:dataValidation>
        <x14:dataValidation type="list" allowBlank="1" showInputMessage="1">
          <x14:formula1>
            <xm:f>'Part ID'!$B:$B</xm:f>
          </x14:formula1>
          <xm:sqref>B9:C42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V103"/>
  <sheetViews>
    <sheetView zoomScaleNormal="100" zoomScaleSheetLayoutView="100" workbookViewId="0">
      <pane ySplit="8" topLeftCell="A9" activePane="bottomLeft" state="frozen"/>
      <selection pane="bottomLeft" activeCell="B10" sqref="B10:C10"/>
    </sheetView>
  </sheetViews>
  <sheetFormatPr defaultRowHeight="11.25" x14ac:dyDescent="0.2"/>
  <cols>
    <col min="1" max="1" width="6.28515625" style="10" customWidth="1"/>
    <col min="2" max="2" width="5.85546875" style="9" customWidth="1"/>
    <col min="3" max="3" width="5.7109375" style="9" customWidth="1"/>
    <col min="4" max="4" width="2.7109375" style="5" customWidth="1"/>
    <col min="5" max="6" width="6.7109375" style="5" customWidth="1"/>
    <col min="7" max="7" width="8" style="5" customWidth="1"/>
    <col min="8" max="8" width="20.5703125" style="2" customWidth="1"/>
    <col min="9" max="12" width="5.7109375" style="2" customWidth="1"/>
    <col min="13" max="13" width="6.42578125" style="2" customWidth="1"/>
    <col min="14" max="14" width="18" style="3" bestFit="1" customWidth="1"/>
    <col min="15" max="15" width="21.140625" style="2" customWidth="1"/>
    <col min="16" max="16" width="9.140625" style="11"/>
    <col min="17" max="18" width="9.140625" style="2"/>
    <col min="19" max="19" width="9.140625" style="11"/>
    <col min="20" max="21" width="9.140625" style="2"/>
    <col min="22" max="22" width="9.140625" style="11"/>
    <col min="23" max="16384" width="9.140625" style="2"/>
  </cols>
  <sheetData>
    <row r="1" spans="1:20" ht="22.5" x14ac:dyDescent="0.45">
      <c r="A1" s="53" t="s">
        <v>4541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8"/>
    </row>
    <row r="2" spans="1:20" ht="13.5" customHeight="1" x14ac:dyDescent="0.25">
      <c r="A2" s="38" t="s">
        <v>6</v>
      </c>
      <c r="B2" s="38"/>
      <c r="C2" s="54"/>
      <c r="D2" s="54"/>
      <c r="E2" s="54"/>
      <c r="F2" s="54"/>
      <c r="G2" s="54"/>
      <c r="H2" s="10"/>
      <c r="I2" s="55" t="s">
        <v>8</v>
      </c>
      <c r="J2" s="55"/>
      <c r="K2" s="56"/>
      <c r="L2" s="56"/>
      <c r="M2" s="56"/>
      <c r="O2" s="4"/>
    </row>
    <row r="3" spans="1:20" ht="12.75" x14ac:dyDescent="0.25">
      <c r="A3" s="38" t="s">
        <v>4</v>
      </c>
      <c r="B3" s="38"/>
      <c r="C3" s="39"/>
      <c r="D3" s="39"/>
      <c r="E3" s="39"/>
      <c r="F3" s="39"/>
      <c r="G3" s="39"/>
      <c r="H3" s="10"/>
      <c r="I3" s="55" t="s">
        <v>5</v>
      </c>
      <c r="J3" s="55"/>
      <c r="K3" s="41"/>
      <c r="L3" s="41"/>
      <c r="M3" s="41"/>
      <c r="O3" s="4"/>
    </row>
    <row r="4" spans="1:20" ht="13.5" customHeight="1" x14ac:dyDescent="0.25">
      <c r="A4" s="38" t="s">
        <v>7</v>
      </c>
      <c r="B4" s="38"/>
      <c r="C4" s="39"/>
      <c r="D4" s="39"/>
      <c r="E4" s="39"/>
      <c r="F4" s="19"/>
      <c r="G4" s="19"/>
      <c r="H4" s="10"/>
      <c r="I4" s="40" t="s">
        <v>9</v>
      </c>
      <c r="J4" s="40"/>
      <c r="K4" s="41"/>
      <c r="L4" s="41"/>
      <c r="M4" s="41"/>
      <c r="O4" s="4"/>
    </row>
    <row r="5" spans="1:20" ht="13.5" customHeight="1" x14ac:dyDescent="0.25">
      <c r="A5" s="38" t="s">
        <v>10</v>
      </c>
      <c r="B5" s="38"/>
      <c r="C5" s="39"/>
      <c r="D5" s="39"/>
      <c r="E5" s="20"/>
      <c r="F5" s="20"/>
      <c r="G5" s="20"/>
      <c r="H5" s="10"/>
      <c r="I5" s="38" t="s">
        <v>10</v>
      </c>
      <c r="J5" s="38"/>
      <c r="K5" s="42"/>
      <c r="L5" s="42"/>
      <c r="M5" s="18"/>
      <c r="O5" s="4"/>
    </row>
    <row r="6" spans="1:20" ht="12" thickBot="1" x14ac:dyDescent="0.25">
      <c r="A6" s="13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2"/>
    </row>
    <row r="7" spans="1:20" ht="14.25" customHeight="1" thickTop="1" x14ac:dyDescent="0.25">
      <c r="A7" s="32" t="s">
        <v>0</v>
      </c>
      <c r="B7" s="43" t="s">
        <v>1</v>
      </c>
      <c r="C7" s="44"/>
      <c r="D7" s="45" t="s">
        <v>2</v>
      </c>
      <c r="E7" s="46"/>
      <c r="F7" s="47" t="s">
        <v>3</v>
      </c>
      <c r="G7" s="48"/>
      <c r="H7" s="49"/>
      <c r="I7" s="50" t="s">
        <v>12</v>
      </c>
      <c r="J7" s="51"/>
      <c r="K7" s="51"/>
      <c r="L7" s="51"/>
      <c r="M7" s="52"/>
      <c r="N7" s="16" t="s">
        <v>13</v>
      </c>
      <c r="Q7" s="1"/>
    </row>
    <row r="8" spans="1:20" ht="2.1" customHeight="1" thickBot="1" x14ac:dyDescent="0.25">
      <c r="A8" s="22"/>
      <c r="B8" s="23"/>
      <c r="C8" s="23"/>
      <c r="D8" s="23"/>
      <c r="E8" s="23"/>
      <c r="F8" s="14"/>
      <c r="G8" s="14"/>
      <c r="H8" s="14"/>
      <c r="I8" s="14"/>
      <c r="J8" s="14"/>
      <c r="K8" s="14"/>
      <c r="L8" s="14"/>
      <c r="M8" s="14"/>
      <c r="N8" s="14"/>
      <c r="O8" s="12"/>
    </row>
    <row r="9" spans="1:20" ht="13.5" customHeight="1" thickTop="1" x14ac:dyDescent="0.25">
      <c r="A9" s="25"/>
      <c r="B9" s="35" t="s">
        <v>14</v>
      </c>
      <c r="C9" s="35"/>
      <c r="D9" s="36"/>
      <c r="E9" s="36"/>
      <c r="F9" s="37" t="str">
        <f>IF(B9="","",VLOOKUP(B9,#REF!,2,FALSE))</f>
        <v/>
      </c>
      <c r="G9" s="37"/>
      <c r="H9" s="37"/>
      <c r="I9" s="37" t="str">
        <f>IF(B9="","",IF(VLOOKUP(B9,#REF!,3,FALSE)="","",VLOOKUP(B9,#REF!,3,FALSE)))</f>
        <v/>
      </c>
      <c r="J9" s="37"/>
      <c r="K9" s="37"/>
      <c r="L9" s="37"/>
      <c r="M9" s="37"/>
      <c r="N9" s="15" t="str">
        <f>IF(B9="","",IF(VLOOKUP(B9,#REF!,4,FALSE)="","",VLOOKUP(B9,#REF!,4,FALSE)))</f>
        <v/>
      </c>
      <c r="P9" s="24"/>
      <c r="Q9" s="24"/>
      <c r="T9" s="2" t="str">
        <f>IF(R9="","",VLOOKUP(R9,'Vendor Data'!F:G,2,FALSE))</f>
        <v/>
      </c>
    </row>
    <row r="10" spans="1:20" ht="13.5" customHeight="1" x14ac:dyDescent="0.25">
      <c r="A10" s="25"/>
      <c r="B10" s="35" t="s">
        <v>14</v>
      </c>
      <c r="C10" s="35"/>
      <c r="D10" s="36"/>
      <c r="E10" s="36"/>
      <c r="F10" s="37" t="str">
        <f>IF(B10="","",VLOOKUP(B10,'Part ID'!B:G,2,FALSE))</f>
        <v/>
      </c>
      <c r="G10" s="37"/>
      <c r="H10" s="37"/>
      <c r="I10" s="37" t="str">
        <f>IF(B10="","",IF(VLOOKUP(B10,'Part ID'!B:G,3,FALSE)="","",VLOOKUP(B10,'Part ID'!B:G,3,FALSE)))</f>
        <v/>
      </c>
      <c r="J10" s="37"/>
      <c r="K10" s="37"/>
      <c r="L10" s="37"/>
      <c r="M10" s="37"/>
      <c r="N10" s="15" t="str">
        <f>IF(B10="","",IF(VLOOKUP(B10,'Part ID'!B:G,4,FALSE)="","",VLOOKUP(B10,'Part ID'!B:G,4,FALSE)))</f>
        <v/>
      </c>
      <c r="P10" s="24"/>
      <c r="Q10" s="24"/>
      <c r="T10" s="2" t="str">
        <f>IF(R10="","",VLOOKUP(R10,'Vendor Data'!F:G,2,FALSE))</f>
        <v/>
      </c>
    </row>
    <row r="11" spans="1:20" ht="13.5" customHeight="1" x14ac:dyDescent="0.25">
      <c r="A11" s="25"/>
      <c r="B11" s="35" t="s">
        <v>14</v>
      </c>
      <c r="C11" s="35"/>
      <c r="D11" s="36"/>
      <c r="E11" s="36"/>
      <c r="F11" s="37" t="str">
        <f>IF(B11="","",VLOOKUP(B11,'Part ID'!B:G,2,FALSE))</f>
        <v/>
      </c>
      <c r="G11" s="37"/>
      <c r="H11" s="37"/>
      <c r="I11" s="37" t="str">
        <f>IF(B11="","",IF(VLOOKUP(B11,'Part ID'!B:G,3,FALSE)="","",VLOOKUP(B11,'Part ID'!B:G,3,FALSE)))</f>
        <v/>
      </c>
      <c r="J11" s="37"/>
      <c r="K11" s="37"/>
      <c r="L11" s="37"/>
      <c r="M11" s="37"/>
      <c r="N11" s="15" t="str">
        <f>IF(B11="","",IF(VLOOKUP(B11,'Part ID'!B:G,4,FALSE)="","",VLOOKUP(B11,'Part ID'!B:G,4,FALSE)))</f>
        <v/>
      </c>
      <c r="P11" s="24"/>
      <c r="Q11" s="24"/>
      <c r="T11" s="2" t="str">
        <f>IF(R11="","",VLOOKUP(R11,'Vendor Data'!F:G,2,FALSE))</f>
        <v/>
      </c>
    </row>
    <row r="12" spans="1:20" ht="13.5" customHeight="1" x14ac:dyDescent="0.25">
      <c r="A12" s="25"/>
      <c r="B12" s="35" t="s">
        <v>14</v>
      </c>
      <c r="C12" s="35"/>
      <c r="D12" s="36"/>
      <c r="E12" s="36"/>
      <c r="F12" s="37" t="str">
        <f>IF(B12="","",VLOOKUP(B12,'Part ID'!B:G,2,FALSE))</f>
        <v/>
      </c>
      <c r="G12" s="37"/>
      <c r="H12" s="37"/>
      <c r="I12" s="37" t="str">
        <f>IF(B12="","",IF(VLOOKUP(B12,'Part ID'!B:G,3,FALSE)="","",VLOOKUP(B12,'Part ID'!B:G,3,FALSE)))</f>
        <v/>
      </c>
      <c r="J12" s="37"/>
      <c r="K12" s="37"/>
      <c r="L12" s="37"/>
      <c r="M12" s="37"/>
      <c r="N12" s="15" t="str">
        <f>IF(B12="","",IF(VLOOKUP(B12,'Part ID'!B:G,4,FALSE)="","",VLOOKUP(B12,'Part ID'!B:G,4,FALSE)))</f>
        <v/>
      </c>
      <c r="P12" s="24"/>
      <c r="Q12" s="24"/>
      <c r="T12" s="2" t="str">
        <f>IF(R12="","",VLOOKUP(R12,'Vendor Data'!F:G,2,FALSE))</f>
        <v/>
      </c>
    </row>
    <row r="13" spans="1:20" ht="13.5" customHeight="1" x14ac:dyDescent="0.25">
      <c r="A13" s="25"/>
      <c r="B13" s="35" t="s">
        <v>14</v>
      </c>
      <c r="C13" s="35"/>
      <c r="D13" s="36"/>
      <c r="E13" s="36"/>
      <c r="F13" s="37" t="str">
        <f>IF(B13="","",VLOOKUP(B13,'Part ID'!B:G,2,FALSE))</f>
        <v/>
      </c>
      <c r="G13" s="37"/>
      <c r="H13" s="37"/>
      <c r="I13" s="37" t="str">
        <f>IF(B13="","",IF(VLOOKUP(B13,'Part ID'!B:G,3,FALSE)="","",VLOOKUP(B13,'Part ID'!B:G,3,FALSE)))</f>
        <v/>
      </c>
      <c r="J13" s="37"/>
      <c r="K13" s="37"/>
      <c r="L13" s="37"/>
      <c r="M13" s="37"/>
      <c r="N13" s="15" t="str">
        <f>IF(B13="","",IF(VLOOKUP(B13,'Part ID'!B:G,4,FALSE)="","",VLOOKUP(B13,'Part ID'!B:G,4,FALSE)))</f>
        <v/>
      </c>
      <c r="P13" s="24"/>
      <c r="Q13" s="24"/>
      <c r="T13" s="2" t="str">
        <f>IF(R13="","",VLOOKUP(R13,'Vendor Data'!F:G,2,FALSE))</f>
        <v/>
      </c>
    </row>
    <row r="14" spans="1:20" ht="13.5" customHeight="1" x14ac:dyDescent="0.25">
      <c r="A14" s="25"/>
      <c r="B14" s="35" t="s">
        <v>14</v>
      </c>
      <c r="C14" s="35"/>
      <c r="D14" s="36"/>
      <c r="E14" s="36"/>
      <c r="F14" s="37" t="str">
        <f>IF(B14="","",VLOOKUP(B14,'Part ID'!B:G,2,FALSE))</f>
        <v/>
      </c>
      <c r="G14" s="37"/>
      <c r="H14" s="37"/>
      <c r="I14" s="37" t="str">
        <f>IF(B14="","",IF(VLOOKUP(B14,'Part ID'!B:G,3,FALSE)="","",VLOOKUP(B14,'Part ID'!B:G,3,FALSE)))</f>
        <v/>
      </c>
      <c r="J14" s="37"/>
      <c r="K14" s="37"/>
      <c r="L14" s="37"/>
      <c r="M14" s="37"/>
      <c r="N14" s="15" t="str">
        <f>IF(B14="","",IF(VLOOKUP(B14,'Part ID'!B:G,4,FALSE)="","",VLOOKUP(B14,'Part ID'!B:G,4,FALSE)))</f>
        <v/>
      </c>
      <c r="P14" s="24"/>
      <c r="Q14" s="24"/>
      <c r="T14" s="2" t="str">
        <f>IF(R14="","",VLOOKUP(R14,'Vendor Data'!F:G,2,FALSE))</f>
        <v/>
      </c>
    </row>
    <row r="15" spans="1:20" ht="13.5" customHeight="1" x14ac:dyDescent="0.25">
      <c r="A15" s="25"/>
      <c r="B15" s="35" t="s">
        <v>14</v>
      </c>
      <c r="C15" s="35"/>
      <c r="D15" s="36"/>
      <c r="E15" s="36"/>
      <c r="F15" s="37" t="str">
        <f>IF(B15="","",VLOOKUP(B15,'Part ID'!B:G,2,FALSE))</f>
        <v/>
      </c>
      <c r="G15" s="37"/>
      <c r="H15" s="37"/>
      <c r="I15" s="37" t="str">
        <f>IF(B15="","",IF(VLOOKUP(B15,'Part ID'!B:G,3,FALSE)="","",VLOOKUP(B15,'Part ID'!B:G,3,FALSE)))</f>
        <v/>
      </c>
      <c r="J15" s="37"/>
      <c r="K15" s="37"/>
      <c r="L15" s="37"/>
      <c r="M15" s="37"/>
      <c r="N15" s="15" t="str">
        <f>IF(B15="","",IF(VLOOKUP(B15,'Part ID'!B:G,4,FALSE)="","",VLOOKUP(B15,'Part ID'!B:G,4,FALSE)))</f>
        <v/>
      </c>
      <c r="P15" s="24"/>
      <c r="Q15" s="24"/>
      <c r="T15" s="2" t="str">
        <f>IF(R15="","",VLOOKUP(R15,'Vendor Data'!F:G,2,FALSE))</f>
        <v/>
      </c>
    </row>
    <row r="16" spans="1:20" ht="13.5" customHeight="1" x14ac:dyDescent="0.25">
      <c r="A16" s="25"/>
      <c r="B16" s="35" t="s">
        <v>14</v>
      </c>
      <c r="C16" s="35"/>
      <c r="D16" s="36"/>
      <c r="E16" s="36"/>
      <c r="F16" s="37" t="str">
        <f>IF(B16="","",VLOOKUP(B16,'Part ID'!B:G,2,FALSE))</f>
        <v/>
      </c>
      <c r="G16" s="37"/>
      <c r="H16" s="37"/>
      <c r="I16" s="37" t="str">
        <f>IF(B16="","",IF(VLOOKUP(B16,'Part ID'!B:G,3,FALSE)="","",VLOOKUP(B16,'Part ID'!B:G,3,FALSE)))</f>
        <v/>
      </c>
      <c r="J16" s="37"/>
      <c r="K16" s="37"/>
      <c r="L16" s="37"/>
      <c r="M16" s="37"/>
      <c r="N16" s="15" t="str">
        <f>IF(B16="","",IF(VLOOKUP(B16,'Part ID'!B:G,4,FALSE)="","",VLOOKUP(B16,'Part ID'!B:G,4,FALSE)))</f>
        <v/>
      </c>
      <c r="P16" s="24"/>
      <c r="Q16" s="24"/>
      <c r="T16" s="2" t="str">
        <f>IF(R16="","",VLOOKUP(R16,'Vendor Data'!F:G,2,FALSE))</f>
        <v/>
      </c>
    </row>
    <row r="17" spans="1:20" ht="13.5" customHeight="1" x14ac:dyDescent="0.25">
      <c r="A17" s="25"/>
      <c r="B17" s="35" t="s">
        <v>14</v>
      </c>
      <c r="C17" s="35"/>
      <c r="D17" s="36"/>
      <c r="E17" s="36"/>
      <c r="F17" s="37" t="str">
        <f>IF(B17="","",VLOOKUP(B17,'Part ID'!B:G,2,FALSE))</f>
        <v/>
      </c>
      <c r="G17" s="37"/>
      <c r="H17" s="37"/>
      <c r="I17" s="37" t="str">
        <f>IF(B17="","",IF(VLOOKUP(B17,'Part ID'!B:G,3,FALSE)="","",VLOOKUP(B17,'Part ID'!B:G,3,FALSE)))</f>
        <v/>
      </c>
      <c r="J17" s="37"/>
      <c r="K17" s="37"/>
      <c r="L17" s="37"/>
      <c r="M17" s="37"/>
      <c r="N17" s="15" t="str">
        <f>IF(B17="","",IF(VLOOKUP(B17,'Part ID'!B:G,4,FALSE)="","",VLOOKUP(B17,'Part ID'!B:G,4,FALSE)))</f>
        <v/>
      </c>
      <c r="P17" s="24"/>
      <c r="Q17" s="24"/>
      <c r="T17" s="2" t="str">
        <f>IF(R17="","",VLOOKUP(R17,'Vendor Data'!F:G,2,FALSE))</f>
        <v/>
      </c>
    </row>
    <row r="18" spans="1:20" ht="13.5" customHeight="1" x14ac:dyDescent="0.25">
      <c r="A18" s="25"/>
      <c r="B18" s="35" t="s">
        <v>14</v>
      </c>
      <c r="C18" s="35"/>
      <c r="D18" s="36"/>
      <c r="E18" s="36"/>
      <c r="F18" s="37" t="str">
        <f>IF(B18="","",VLOOKUP(B18,'Part ID'!B:G,2,FALSE))</f>
        <v/>
      </c>
      <c r="G18" s="37"/>
      <c r="H18" s="37"/>
      <c r="I18" s="37" t="str">
        <f>IF(B18="","",IF(VLOOKUP(B18,'Part ID'!B:G,3,FALSE)="","",VLOOKUP(B18,'Part ID'!B:G,3,FALSE)))</f>
        <v/>
      </c>
      <c r="J18" s="37"/>
      <c r="K18" s="37"/>
      <c r="L18" s="37"/>
      <c r="M18" s="37"/>
      <c r="N18" s="15" t="str">
        <f>IF(B18="","",IF(VLOOKUP(B18,'Part ID'!B:G,4,FALSE)="","",VLOOKUP(B18,'Part ID'!B:G,4,FALSE)))</f>
        <v/>
      </c>
      <c r="P18" s="24"/>
      <c r="Q18" s="24"/>
      <c r="T18" s="2" t="str">
        <f>IF(R18="","",VLOOKUP(R18,'Vendor Data'!F:G,2,FALSE))</f>
        <v/>
      </c>
    </row>
    <row r="19" spans="1:20" ht="13.5" customHeight="1" x14ac:dyDescent="0.25">
      <c r="A19" s="25"/>
      <c r="B19" s="35" t="s">
        <v>14</v>
      </c>
      <c r="C19" s="35"/>
      <c r="D19" s="36"/>
      <c r="E19" s="36"/>
      <c r="F19" s="37" t="str">
        <f>IF(B19="","",VLOOKUP(B19,'Part ID'!B:G,2,FALSE))</f>
        <v/>
      </c>
      <c r="G19" s="37"/>
      <c r="H19" s="37"/>
      <c r="I19" s="37" t="str">
        <f>IF(B19="","",IF(VLOOKUP(B19,'Part ID'!B:G,3,FALSE)="","",VLOOKUP(B19,'Part ID'!B:G,3,FALSE)))</f>
        <v/>
      </c>
      <c r="J19" s="37"/>
      <c r="K19" s="37"/>
      <c r="L19" s="37"/>
      <c r="M19" s="37"/>
      <c r="N19" s="15" t="str">
        <f>IF(B19="","",IF(VLOOKUP(B19,'Part ID'!B:G,4,FALSE)="","",VLOOKUP(B19,'Part ID'!B:G,4,FALSE)))</f>
        <v/>
      </c>
      <c r="P19" s="24"/>
      <c r="Q19" s="24"/>
      <c r="T19" s="2" t="str">
        <f>IF(R19="","",VLOOKUP(R19,'Vendor Data'!F:G,2,FALSE))</f>
        <v/>
      </c>
    </row>
    <row r="20" spans="1:20" ht="13.5" customHeight="1" x14ac:dyDescent="0.25">
      <c r="A20" s="25"/>
      <c r="B20" s="35" t="s">
        <v>14</v>
      </c>
      <c r="C20" s="35"/>
      <c r="D20" s="36"/>
      <c r="E20" s="36"/>
      <c r="F20" s="37" t="str">
        <f>IF(B20="","",VLOOKUP(B20,'Part ID'!B:G,2,FALSE))</f>
        <v/>
      </c>
      <c r="G20" s="37"/>
      <c r="H20" s="37"/>
      <c r="I20" s="37" t="str">
        <f>IF(B20="","",IF(VLOOKUP(B20,'Part ID'!B:G,3,FALSE)="","",VLOOKUP(B20,'Part ID'!B:G,3,FALSE)))</f>
        <v/>
      </c>
      <c r="J20" s="37"/>
      <c r="K20" s="37"/>
      <c r="L20" s="37"/>
      <c r="M20" s="37"/>
      <c r="N20" s="15" t="str">
        <f>IF(B20="","",IF(VLOOKUP(B20,'Part ID'!B:G,4,FALSE)="","",VLOOKUP(B20,'Part ID'!B:G,4,FALSE)))</f>
        <v/>
      </c>
      <c r="P20" s="24"/>
      <c r="Q20" s="24"/>
      <c r="T20" s="2" t="str">
        <f>IF(R20="","",VLOOKUP(R20,'Vendor Data'!F:G,2,FALSE))</f>
        <v/>
      </c>
    </row>
    <row r="21" spans="1:20" ht="13.5" customHeight="1" x14ac:dyDescent="0.25">
      <c r="A21" s="25"/>
      <c r="B21" s="35" t="s">
        <v>14</v>
      </c>
      <c r="C21" s="35"/>
      <c r="D21" s="36"/>
      <c r="E21" s="36"/>
      <c r="F21" s="37" t="str">
        <f>IF(B21="","",VLOOKUP(B21,'Part ID'!B:G,2,FALSE))</f>
        <v/>
      </c>
      <c r="G21" s="37"/>
      <c r="H21" s="37"/>
      <c r="I21" s="37" t="str">
        <f>IF(B21="","",IF(VLOOKUP(B21,'Part ID'!B:G,3,FALSE)="","",VLOOKUP(B21,'Part ID'!B:G,3,FALSE)))</f>
        <v/>
      </c>
      <c r="J21" s="37"/>
      <c r="K21" s="37"/>
      <c r="L21" s="37"/>
      <c r="M21" s="37"/>
      <c r="N21" s="15" t="str">
        <f>IF(B21="","",IF(VLOOKUP(B21,'Part ID'!B:G,4,FALSE)="","",VLOOKUP(B21,'Part ID'!B:G,4,FALSE)))</f>
        <v/>
      </c>
      <c r="P21" s="24"/>
      <c r="Q21" s="24"/>
      <c r="T21" s="2" t="str">
        <f>IF(R21="","",VLOOKUP(R21,'Vendor Data'!F:G,2,FALSE))</f>
        <v/>
      </c>
    </row>
    <row r="22" spans="1:20" ht="13.5" customHeight="1" x14ac:dyDescent="0.25">
      <c r="A22" s="25"/>
      <c r="B22" s="35" t="s">
        <v>14</v>
      </c>
      <c r="C22" s="35"/>
      <c r="D22" s="36"/>
      <c r="E22" s="36"/>
      <c r="F22" s="37" t="str">
        <f>IF(B22="","",VLOOKUP(B22,'Part ID'!B:G,2,FALSE))</f>
        <v/>
      </c>
      <c r="G22" s="37"/>
      <c r="H22" s="37"/>
      <c r="I22" s="37" t="str">
        <f>IF(B22="","",IF(VLOOKUP(B22,'Part ID'!B:G,3,FALSE)="","",VLOOKUP(B22,'Part ID'!B:G,3,FALSE)))</f>
        <v/>
      </c>
      <c r="J22" s="37"/>
      <c r="K22" s="37"/>
      <c r="L22" s="37"/>
      <c r="M22" s="37"/>
      <c r="N22" s="15" t="str">
        <f>IF(B22="","",IF(VLOOKUP(B22,'Part ID'!B:G,4,FALSE)="","",VLOOKUP(B22,'Part ID'!B:G,4,FALSE)))</f>
        <v/>
      </c>
      <c r="P22" s="24"/>
      <c r="Q22" s="24"/>
      <c r="T22" s="2" t="str">
        <f>IF(R22="","",VLOOKUP(R22,'Vendor Data'!F:G,2,FALSE))</f>
        <v/>
      </c>
    </row>
    <row r="23" spans="1:20" ht="13.5" customHeight="1" x14ac:dyDescent="0.25">
      <c r="A23" s="25"/>
      <c r="B23" s="35" t="s">
        <v>14</v>
      </c>
      <c r="C23" s="35"/>
      <c r="D23" s="36"/>
      <c r="E23" s="36"/>
      <c r="F23" s="37" t="str">
        <f>IF(B23="","",VLOOKUP(B23,'Part ID'!B:G,2,FALSE))</f>
        <v/>
      </c>
      <c r="G23" s="37"/>
      <c r="H23" s="37"/>
      <c r="I23" s="37" t="str">
        <f>IF(B23="","",IF(VLOOKUP(B23,'Part ID'!B:G,3,FALSE)="","",VLOOKUP(B23,'Part ID'!B:G,3,FALSE)))</f>
        <v/>
      </c>
      <c r="J23" s="37"/>
      <c r="K23" s="37"/>
      <c r="L23" s="37"/>
      <c r="M23" s="37"/>
      <c r="N23" s="15" t="str">
        <f>IF(B23="","",IF(VLOOKUP(B23,'Part ID'!B:G,4,FALSE)="","",VLOOKUP(B23,'Part ID'!B:G,4,FALSE)))</f>
        <v/>
      </c>
      <c r="P23" s="24"/>
      <c r="Q23" s="24"/>
      <c r="T23" s="2" t="str">
        <f>IF(R23="","",VLOOKUP(R23,'Vendor Data'!F:G,2,FALSE))</f>
        <v/>
      </c>
    </row>
    <row r="24" spans="1:20" ht="13.5" customHeight="1" x14ac:dyDescent="0.25">
      <c r="A24" s="25"/>
      <c r="B24" s="35" t="s">
        <v>14</v>
      </c>
      <c r="C24" s="35"/>
      <c r="D24" s="36"/>
      <c r="E24" s="36"/>
      <c r="F24" s="37" t="str">
        <f>IF(B24="","",VLOOKUP(B24,'Part ID'!B:G,2,FALSE))</f>
        <v/>
      </c>
      <c r="G24" s="37"/>
      <c r="H24" s="37"/>
      <c r="I24" s="37" t="str">
        <f>IF(B24="","",IF(VLOOKUP(B24,'Part ID'!B:G,3,FALSE)="","",VLOOKUP(B24,'Part ID'!B:G,3,FALSE)))</f>
        <v/>
      </c>
      <c r="J24" s="37"/>
      <c r="K24" s="37"/>
      <c r="L24" s="37"/>
      <c r="M24" s="37"/>
      <c r="N24" s="15" t="str">
        <f>IF(B24="","",IF(VLOOKUP(B24,'Part ID'!B:G,4,FALSE)="","",VLOOKUP(B24,'Part ID'!B:G,4,FALSE)))</f>
        <v/>
      </c>
      <c r="P24" s="24"/>
      <c r="Q24" s="24"/>
      <c r="T24" s="2" t="str">
        <f>IF(R24="","",VLOOKUP(R24,'Vendor Data'!F:G,2,FALSE))</f>
        <v/>
      </c>
    </row>
    <row r="25" spans="1:20" ht="13.5" customHeight="1" x14ac:dyDescent="0.25">
      <c r="A25" s="25"/>
      <c r="B25" s="35" t="s">
        <v>14</v>
      </c>
      <c r="C25" s="35"/>
      <c r="D25" s="36"/>
      <c r="E25" s="36"/>
      <c r="F25" s="37" t="str">
        <f>IF(B25="","",VLOOKUP(B25,'Part ID'!B:G,2,FALSE))</f>
        <v/>
      </c>
      <c r="G25" s="37"/>
      <c r="H25" s="37"/>
      <c r="I25" s="37" t="str">
        <f>IF(B25="","",IF(VLOOKUP(B25,'Part ID'!B:G,3,FALSE)="","",VLOOKUP(B25,'Part ID'!B:G,3,FALSE)))</f>
        <v/>
      </c>
      <c r="J25" s="37"/>
      <c r="K25" s="37"/>
      <c r="L25" s="37"/>
      <c r="M25" s="37"/>
      <c r="N25" s="15" t="str">
        <f>IF(B25="","",IF(VLOOKUP(B25,'Part ID'!B:G,4,FALSE)="","",VLOOKUP(B25,'Part ID'!B:G,4,FALSE)))</f>
        <v/>
      </c>
      <c r="P25" s="24"/>
      <c r="Q25" s="24"/>
      <c r="T25" s="2" t="str">
        <f>IF(R25="","",VLOOKUP(R25,'Vendor Data'!F:G,2,FALSE))</f>
        <v/>
      </c>
    </row>
    <row r="26" spans="1:20" ht="13.5" customHeight="1" x14ac:dyDescent="0.25">
      <c r="A26" s="25"/>
      <c r="B26" s="35" t="s">
        <v>14</v>
      </c>
      <c r="C26" s="35"/>
      <c r="D26" s="36"/>
      <c r="E26" s="36"/>
      <c r="F26" s="37" t="str">
        <f>IF(B26="","",VLOOKUP(B26,'Part ID'!B:G,2,FALSE))</f>
        <v/>
      </c>
      <c r="G26" s="37"/>
      <c r="H26" s="37"/>
      <c r="I26" s="37" t="str">
        <f>IF(B26="","",IF(VLOOKUP(B26,'Part ID'!B:G,3,FALSE)="","",VLOOKUP(B26,'Part ID'!B:G,3,FALSE)))</f>
        <v/>
      </c>
      <c r="J26" s="37"/>
      <c r="K26" s="37"/>
      <c r="L26" s="37"/>
      <c r="M26" s="37"/>
      <c r="N26" s="15" t="str">
        <f>IF(B26="","",IF(VLOOKUP(B26,'Part ID'!B:G,4,FALSE)="","",VLOOKUP(B26,'Part ID'!B:G,4,FALSE)))</f>
        <v/>
      </c>
      <c r="P26" s="24"/>
      <c r="Q26" s="24"/>
      <c r="T26" s="2" t="str">
        <f>IF(R26="","",VLOOKUP(R26,'Vendor Data'!F:G,2,FALSE))</f>
        <v/>
      </c>
    </row>
    <row r="27" spans="1:20" ht="12.75" x14ac:dyDescent="0.25">
      <c r="A27" s="17" t="s">
        <v>11</v>
      </c>
      <c r="H27" s="6" t="str">
        <f>IF(B27="","",VLOOKUP(B27,#REF!,2))</f>
        <v/>
      </c>
      <c r="I27" s="6" t="str">
        <f>IF(B27="","",VLOOKUP(B27,#REF!,3))</f>
        <v/>
      </c>
      <c r="J27" s="6"/>
      <c r="K27" s="6"/>
      <c r="L27" s="6"/>
      <c r="M27" s="6"/>
      <c r="N27" s="7" t="str">
        <f>IF(B27="","",VLOOKUP(B27,#REF!,4))</f>
        <v/>
      </c>
      <c r="Q27" s="1"/>
    </row>
    <row r="28" spans="1:20" ht="12.75" x14ac:dyDescent="0.25">
      <c r="A28" s="17"/>
      <c r="B28" s="31"/>
      <c r="C28" s="31"/>
      <c r="D28" s="21"/>
      <c r="E28" s="21"/>
      <c r="F28" s="21"/>
      <c r="G28" s="21"/>
      <c r="H28" s="30" t="str">
        <f>IF(B28="","",VLOOKUP(B28,#REF!,2))</f>
        <v/>
      </c>
      <c r="I28" s="30" t="str">
        <f>IF(B28="","",VLOOKUP(B28,#REF!,3))</f>
        <v/>
      </c>
      <c r="J28" s="30"/>
      <c r="K28" s="30"/>
      <c r="L28" s="30"/>
      <c r="M28" s="30"/>
      <c r="N28" s="15" t="str">
        <f>IF(B28="","",VLOOKUP(B28,#REF!,4))</f>
        <v/>
      </c>
      <c r="Q28" s="1"/>
    </row>
    <row r="29" spans="1:20" x14ac:dyDescent="0.2">
      <c r="H29" s="6" t="str">
        <f>IF(B29="","",VLOOKUP(B29,#REF!,2))</f>
        <v/>
      </c>
      <c r="I29" s="6" t="str">
        <f>IF(B29="","",VLOOKUP(B29,#REF!,3))</f>
        <v/>
      </c>
      <c r="J29" s="6"/>
      <c r="K29" s="6"/>
      <c r="L29" s="6"/>
      <c r="M29" s="6"/>
      <c r="N29" s="7" t="str">
        <f>IF(B29="","",VLOOKUP(B29,#REF!,4))</f>
        <v/>
      </c>
      <c r="Q29" s="1"/>
    </row>
    <row r="30" spans="1:20" x14ac:dyDescent="0.2">
      <c r="H30" s="6" t="str">
        <f>IF(B30="","",VLOOKUP(B30,#REF!,2))</f>
        <v/>
      </c>
      <c r="I30" s="6" t="str">
        <f>IF(B30="","",VLOOKUP(B30,#REF!,3))</f>
        <v/>
      </c>
      <c r="J30" s="6"/>
      <c r="K30" s="6"/>
      <c r="L30" s="6"/>
      <c r="M30" s="6"/>
      <c r="N30" s="7" t="str">
        <f>IF(B30="","",VLOOKUP(B30,#REF!,4))</f>
        <v/>
      </c>
      <c r="Q30" s="1"/>
    </row>
    <row r="31" spans="1:20" x14ac:dyDescent="0.2">
      <c r="H31" s="6" t="str">
        <f>IF(B31="","",VLOOKUP(B31,#REF!,2))</f>
        <v/>
      </c>
      <c r="I31" s="6" t="str">
        <f>IF(B31="","",VLOOKUP(B31,#REF!,3))</f>
        <v/>
      </c>
      <c r="J31" s="6"/>
      <c r="K31" s="6"/>
      <c r="L31" s="6"/>
      <c r="M31" s="6"/>
      <c r="N31" s="7" t="str">
        <f>IF(B31="","",VLOOKUP(B31,#REF!,4))</f>
        <v/>
      </c>
      <c r="Q31" s="1"/>
    </row>
    <row r="32" spans="1:20" x14ac:dyDescent="0.2">
      <c r="H32" s="6" t="str">
        <f>IF(B32="","",VLOOKUP(B32,#REF!,2))</f>
        <v/>
      </c>
      <c r="I32" s="6" t="str">
        <f>IF(B32="","",VLOOKUP(B32,#REF!,3))</f>
        <v/>
      </c>
      <c r="J32" s="6"/>
      <c r="K32" s="6"/>
      <c r="L32" s="6"/>
      <c r="M32" s="6"/>
      <c r="N32" s="7" t="str">
        <f>IF(B32="","",VLOOKUP(B32,#REF!,4))</f>
        <v/>
      </c>
      <c r="Q32" s="1"/>
    </row>
    <row r="33" spans="8:17" x14ac:dyDescent="0.2">
      <c r="H33" s="6" t="str">
        <f>IF(B33="","",VLOOKUP(B33,#REF!,2))</f>
        <v/>
      </c>
      <c r="I33" s="6" t="str">
        <f>IF(B33="","",VLOOKUP(B33,#REF!,3))</f>
        <v/>
      </c>
      <c r="J33" s="6"/>
      <c r="K33" s="6"/>
      <c r="L33" s="6"/>
      <c r="M33" s="6"/>
      <c r="N33" s="7" t="str">
        <f>IF(B33="","",VLOOKUP(B33,#REF!,4))</f>
        <v/>
      </c>
      <c r="Q33" s="1"/>
    </row>
    <row r="34" spans="8:17" x14ac:dyDescent="0.2">
      <c r="H34" s="6" t="str">
        <f>IF(B34="","",VLOOKUP(B34,#REF!,2))</f>
        <v/>
      </c>
      <c r="I34" s="6" t="str">
        <f>IF(B34="","",VLOOKUP(B34,#REF!,3))</f>
        <v/>
      </c>
      <c r="J34" s="6"/>
      <c r="K34" s="6"/>
      <c r="L34" s="6"/>
      <c r="M34" s="6"/>
      <c r="N34" s="7" t="str">
        <f>IF(B34="","",VLOOKUP(B34,#REF!,4))</f>
        <v/>
      </c>
      <c r="Q34" s="1"/>
    </row>
    <row r="35" spans="8:17" x14ac:dyDescent="0.2">
      <c r="H35" s="6" t="str">
        <f>IF(B35="","",VLOOKUP(B35,#REF!,2))</f>
        <v/>
      </c>
      <c r="I35" s="6" t="str">
        <f>IF(B35="","",VLOOKUP(B35,#REF!,3))</f>
        <v/>
      </c>
      <c r="J35" s="6"/>
      <c r="K35" s="6"/>
      <c r="L35" s="6"/>
      <c r="M35" s="6"/>
      <c r="N35" s="7" t="str">
        <f>IF(B35="","",VLOOKUP(B35,#REF!,4))</f>
        <v/>
      </c>
      <c r="Q35" s="1"/>
    </row>
    <row r="36" spans="8:17" x14ac:dyDescent="0.2">
      <c r="H36" s="6" t="str">
        <f>IF(B36="","",VLOOKUP(B36,#REF!,2))</f>
        <v/>
      </c>
      <c r="I36" s="6" t="str">
        <f>IF(B36="","",VLOOKUP(B36,#REF!,3))</f>
        <v/>
      </c>
      <c r="J36" s="6"/>
      <c r="K36" s="6"/>
      <c r="L36" s="6"/>
      <c r="M36" s="6"/>
      <c r="N36" s="7" t="str">
        <f>IF(B36="","",VLOOKUP(B36,#REF!,4))</f>
        <v/>
      </c>
      <c r="Q36" s="1"/>
    </row>
    <row r="37" spans="8:17" x14ac:dyDescent="0.2">
      <c r="H37" s="6" t="str">
        <f>IF(B37="","",VLOOKUP(B37,#REF!,2))</f>
        <v/>
      </c>
      <c r="I37" s="6" t="str">
        <f>IF(B37="","",VLOOKUP(B37,#REF!,3))</f>
        <v/>
      </c>
      <c r="J37" s="6"/>
      <c r="K37" s="6"/>
      <c r="L37" s="6"/>
      <c r="M37" s="6"/>
      <c r="N37" s="7" t="str">
        <f>IF(B37="","",VLOOKUP(B37,#REF!,4))</f>
        <v/>
      </c>
      <c r="Q37" s="1"/>
    </row>
    <row r="38" spans="8:17" x14ac:dyDescent="0.2">
      <c r="H38" s="6" t="str">
        <f>IF(B38="","",VLOOKUP(B38,#REF!,2))</f>
        <v/>
      </c>
      <c r="I38" s="6" t="str">
        <f>IF(B38="","",VLOOKUP(B38,#REF!,3))</f>
        <v/>
      </c>
      <c r="J38" s="6"/>
      <c r="K38" s="6"/>
      <c r="L38" s="6"/>
      <c r="M38" s="6"/>
      <c r="N38" s="7" t="str">
        <f>IF(B38="","",VLOOKUP(B38,#REF!,4))</f>
        <v/>
      </c>
      <c r="Q38" s="1"/>
    </row>
    <row r="39" spans="8:17" x14ac:dyDescent="0.2">
      <c r="H39" s="6" t="str">
        <f>IF(B39="","",VLOOKUP(B39,#REF!,2))</f>
        <v/>
      </c>
      <c r="I39" s="6" t="str">
        <f>IF(B39="","",VLOOKUP(B39,#REF!,3))</f>
        <v/>
      </c>
      <c r="J39" s="6"/>
      <c r="K39" s="6"/>
      <c r="L39" s="6"/>
      <c r="M39" s="6"/>
      <c r="N39" s="7" t="str">
        <f>IF(B39="","",VLOOKUP(B39,#REF!,4))</f>
        <v/>
      </c>
      <c r="Q39" s="1"/>
    </row>
    <row r="40" spans="8:17" x14ac:dyDescent="0.2">
      <c r="H40" s="6" t="str">
        <f>IF(B40="","",VLOOKUP(B40,#REF!,2))</f>
        <v/>
      </c>
      <c r="I40" s="6" t="str">
        <f>IF(B40="","",VLOOKUP(B40,#REF!,3))</f>
        <v/>
      </c>
      <c r="J40" s="6"/>
      <c r="K40" s="6"/>
      <c r="L40" s="6"/>
      <c r="M40" s="6"/>
      <c r="N40" s="7" t="str">
        <f>IF(B40="","",VLOOKUP(B40,#REF!,4))</f>
        <v/>
      </c>
      <c r="Q40" s="1"/>
    </row>
    <row r="41" spans="8:17" x14ac:dyDescent="0.2">
      <c r="H41" s="6" t="str">
        <f>IF(B41="","",VLOOKUP(B41,#REF!,2))</f>
        <v/>
      </c>
      <c r="I41" s="6" t="str">
        <f>IF(B41="","",VLOOKUP(B41,#REF!,3))</f>
        <v/>
      </c>
      <c r="J41" s="6"/>
      <c r="K41" s="6"/>
      <c r="L41" s="6"/>
      <c r="M41" s="6"/>
      <c r="N41" s="7" t="str">
        <f>IF(B41="","",VLOOKUP(B41,#REF!,4))</f>
        <v/>
      </c>
      <c r="Q41" s="1"/>
    </row>
    <row r="42" spans="8:17" x14ac:dyDescent="0.2">
      <c r="H42" s="6" t="str">
        <f>IF(B42="","",VLOOKUP(B42,#REF!,2))</f>
        <v/>
      </c>
      <c r="I42" s="6" t="str">
        <f>IF(B42="","",VLOOKUP(B42,#REF!,3))</f>
        <v/>
      </c>
      <c r="J42" s="6"/>
      <c r="K42" s="6"/>
      <c r="L42" s="6"/>
      <c r="M42" s="6"/>
      <c r="N42" s="7" t="str">
        <f>IF(B42="","",VLOOKUP(B42,#REF!,4))</f>
        <v/>
      </c>
      <c r="Q42" s="1"/>
    </row>
    <row r="43" spans="8:17" x14ac:dyDescent="0.2">
      <c r="H43" s="6" t="str">
        <f>IF(B43="","",VLOOKUP(B43,#REF!,2))</f>
        <v/>
      </c>
      <c r="I43" s="6" t="str">
        <f>IF(B43="","",VLOOKUP(B43,#REF!,3))</f>
        <v/>
      </c>
      <c r="J43" s="6"/>
      <c r="K43" s="6"/>
      <c r="L43" s="6"/>
      <c r="M43" s="6"/>
      <c r="N43" s="7" t="str">
        <f>IF(B43="","",VLOOKUP(B43,#REF!,4))</f>
        <v/>
      </c>
      <c r="Q43" s="1"/>
    </row>
    <row r="44" spans="8:17" x14ac:dyDescent="0.2">
      <c r="H44" s="6" t="str">
        <f>IF(B44="","",VLOOKUP(B44,#REF!,2))</f>
        <v/>
      </c>
      <c r="I44" s="6" t="str">
        <f>IF(B44="","",VLOOKUP(B44,#REF!,3))</f>
        <v/>
      </c>
      <c r="J44" s="6"/>
      <c r="K44" s="6"/>
      <c r="L44" s="6"/>
      <c r="M44" s="6"/>
      <c r="N44" s="7" t="str">
        <f>IF(B44="","",VLOOKUP(B44,#REF!,4))</f>
        <v/>
      </c>
      <c r="Q44" s="1"/>
    </row>
    <row r="45" spans="8:17" x14ac:dyDescent="0.2">
      <c r="H45" s="6" t="str">
        <f>IF(B45="","",VLOOKUP(B45,#REF!,2))</f>
        <v/>
      </c>
      <c r="I45" s="6" t="str">
        <f>IF(B45="","",VLOOKUP(B45,#REF!,3))</f>
        <v/>
      </c>
      <c r="J45" s="6"/>
      <c r="K45" s="6"/>
      <c r="L45" s="6"/>
      <c r="M45" s="6"/>
      <c r="N45" s="7" t="str">
        <f>IF(B45="","",VLOOKUP(B45,#REF!,4))</f>
        <v/>
      </c>
      <c r="Q45" s="1"/>
    </row>
    <row r="46" spans="8:17" x14ac:dyDescent="0.2">
      <c r="H46" s="6" t="str">
        <f>IF(B46="","",VLOOKUP(B46,#REF!,2))</f>
        <v/>
      </c>
      <c r="I46" s="6" t="str">
        <f>IF(B46="","",VLOOKUP(B46,#REF!,3))</f>
        <v/>
      </c>
      <c r="J46" s="6"/>
      <c r="K46" s="6"/>
      <c r="L46" s="6"/>
      <c r="M46" s="6"/>
      <c r="N46" s="7" t="str">
        <f>IF(B46="","",VLOOKUP(B46,#REF!,4))</f>
        <v/>
      </c>
      <c r="Q46" s="1"/>
    </row>
    <row r="47" spans="8:17" x14ac:dyDescent="0.2">
      <c r="H47" s="6" t="str">
        <f>IF(B47="","",VLOOKUP(B47,#REF!,2))</f>
        <v/>
      </c>
      <c r="I47" s="6" t="str">
        <f>IF(B47="","",VLOOKUP(B47,#REF!,3))</f>
        <v/>
      </c>
      <c r="J47" s="6"/>
      <c r="K47" s="6"/>
      <c r="L47" s="6"/>
      <c r="M47" s="6"/>
      <c r="N47" s="7" t="str">
        <f>IF(B47="","",VLOOKUP(B47,#REF!,4))</f>
        <v/>
      </c>
      <c r="Q47" s="1"/>
    </row>
    <row r="48" spans="8:17" x14ac:dyDescent="0.2">
      <c r="H48" s="6" t="str">
        <f>IF(B48="","",VLOOKUP(B48,#REF!,2))</f>
        <v/>
      </c>
      <c r="I48" s="6" t="str">
        <f>IF(B48="","",VLOOKUP(B48,#REF!,3))</f>
        <v/>
      </c>
      <c r="J48" s="6"/>
      <c r="K48" s="6"/>
      <c r="L48" s="6"/>
      <c r="M48" s="6"/>
      <c r="N48" s="7" t="str">
        <f>IF(B48="","",VLOOKUP(B48,#REF!,4))</f>
        <v/>
      </c>
      <c r="Q48" s="1"/>
    </row>
    <row r="49" spans="8:17" x14ac:dyDescent="0.2">
      <c r="H49" s="6" t="str">
        <f>IF(B49="","",VLOOKUP(B49,#REF!,2))</f>
        <v/>
      </c>
      <c r="I49" s="6" t="str">
        <f>IF(B49="","",VLOOKUP(B49,#REF!,3))</f>
        <v/>
      </c>
      <c r="J49" s="6"/>
      <c r="K49" s="6"/>
      <c r="L49" s="6"/>
      <c r="M49" s="6"/>
      <c r="N49" s="7" t="str">
        <f>IF(B49="","",VLOOKUP(B49,#REF!,4))</f>
        <v/>
      </c>
      <c r="Q49" s="1"/>
    </row>
    <row r="50" spans="8:17" x14ac:dyDescent="0.2">
      <c r="H50" s="6" t="str">
        <f>IF(B50="","",VLOOKUP(B50,#REF!,2))</f>
        <v/>
      </c>
      <c r="I50" s="6" t="str">
        <f>IF(B50="","",VLOOKUP(B50,#REF!,3))</f>
        <v/>
      </c>
      <c r="J50" s="6"/>
      <c r="K50" s="6"/>
      <c r="L50" s="6"/>
      <c r="M50" s="6"/>
      <c r="N50" s="7" t="str">
        <f>IF(B50="","",VLOOKUP(B50,#REF!,4))</f>
        <v/>
      </c>
      <c r="Q50" s="1"/>
    </row>
    <row r="51" spans="8:17" x14ac:dyDescent="0.2">
      <c r="H51" s="6" t="str">
        <f>IF(B51="","",VLOOKUP(B51,#REF!,2))</f>
        <v/>
      </c>
      <c r="I51" s="6" t="str">
        <f>IF(B51="","",VLOOKUP(B51,#REF!,3))</f>
        <v/>
      </c>
      <c r="J51" s="6"/>
      <c r="K51" s="6"/>
      <c r="L51" s="6"/>
      <c r="M51" s="6"/>
      <c r="N51" s="7" t="str">
        <f>IF(B51="","",VLOOKUP(B51,#REF!,4))</f>
        <v/>
      </c>
      <c r="Q51" s="1"/>
    </row>
    <row r="52" spans="8:17" x14ac:dyDescent="0.2">
      <c r="H52" s="6" t="str">
        <f>IF(B52="","",VLOOKUP(B52,#REF!,2))</f>
        <v/>
      </c>
      <c r="I52" s="6" t="str">
        <f>IF(B52="","",VLOOKUP(B52,#REF!,3))</f>
        <v/>
      </c>
      <c r="J52" s="6"/>
      <c r="K52" s="6"/>
      <c r="L52" s="6"/>
      <c r="M52" s="6"/>
      <c r="N52" s="7" t="str">
        <f>IF(B52="","",VLOOKUP(B52,#REF!,4))</f>
        <v/>
      </c>
      <c r="Q52" s="1"/>
    </row>
    <row r="53" spans="8:17" x14ac:dyDescent="0.2">
      <c r="H53" s="6" t="str">
        <f>IF(B53="","",VLOOKUP(B53,#REF!,2))</f>
        <v/>
      </c>
      <c r="I53" s="6" t="str">
        <f>IF(B53="","",VLOOKUP(B53,#REF!,3))</f>
        <v/>
      </c>
      <c r="J53" s="6"/>
      <c r="K53" s="6"/>
      <c r="L53" s="6"/>
      <c r="M53" s="6"/>
      <c r="N53" s="7" t="str">
        <f>IF(B53="","",VLOOKUP(B53,#REF!,4))</f>
        <v/>
      </c>
      <c r="Q53" s="1"/>
    </row>
    <row r="54" spans="8:17" x14ac:dyDescent="0.2">
      <c r="H54" s="6" t="str">
        <f>IF(B54="","",VLOOKUP(B54,#REF!,2))</f>
        <v/>
      </c>
      <c r="I54" s="6" t="str">
        <f>IF(B54="","",VLOOKUP(B54,#REF!,3))</f>
        <v/>
      </c>
      <c r="J54" s="6"/>
      <c r="K54" s="6"/>
      <c r="L54" s="6"/>
      <c r="M54" s="6"/>
      <c r="N54" s="7" t="str">
        <f>IF(B54="","",VLOOKUP(B54,#REF!,4))</f>
        <v/>
      </c>
      <c r="Q54" s="1"/>
    </row>
    <row r="55" spans="8:17" x14ac:dyDescent="0.2">
      <c r="H55" s="6" t="str">
        <f>IF(B55="","",VLOOKUP(B55,#REF!,2))</f>
        <v/>
      </c>
      <c r="I55" s="6" t="str">
        <f>IF(B55="","",VLOOKUP(B55,#REF!,3))</f>
        <v/>
      </c>
      <c r="J55" s="6"/>
      <c r="K55" s="6"/>
      <c r="L55" s="6"/>
      <c r="M55" s="6"/>
      <c r="N55" s="7" t="str">
        <f>IF(B55="","",VLOOKUP(B55,#REF!,4))</f>
        <v/>
      </c>
      <c r="Q55" s="1"/>
    </row>
    <row r="56" spans="8:17" x14ac:dyDescent="0.2">
      <c r="H56" s="6" t="str">
        <f>IF(B56="","",VLOOKUP(B56,#REF!,2))</f>
        <v/>
      </c>
      <c r="I56" s="6" t="str">
        <f>IF(B56="","",VLOOKUP(B56,#REF!,3))</f>
        <v/>
      </c>
      <c r="J56" s="6"/>
      <c r="K56" s="6"/>
      <c r="L56" s="6"/>
      <c r="M56" s="6"/>
      <c r="N56" s="7" t="str">
        <f>IF(B56="","",VLOOKUP(B56,#REF!,4))</f>
        <v/>
      </c>
      <c r="Q56" s="1"/>
    </row>
    <row r="57" spans="8:17" x14ac:dyDescent="0.2">
      <c r="H57" s="6" t="str">
        <f>IF(B57="","",VLOOKUP(B57,#REF!,2))</f>
        <v/>
      </c>
      <c r="I57" s="6" t="str">
        <f>IF(B57="","",VLOOKUP(B57,#REF!,3))</f>
        <v/>
      </c>
      <c r="J57" s="6"/>
      <c r="K57" s="6"/>
      <c r="L57" s="6"/>
      <c r="M57" s="6"/>
      <c r="N57" s="7" t="str">
        <f>IF(B57="","",VLOOKUP(B57,#REF!,4))</f>
        <v/>
      </c>
      <c r="Q57" s="1"/>
    </row>
    <row r="58" spans="8:17" x14ac:dyDescent="0.2">
      <c r="H58" s="6" t="str">
        <f>IF(B58="","",VLOOKUP(B58,#REF!,2))</f>
        <v/>
      </c>
      <c r="I58" s="6" t="str">
        <f>IF(B58="","",VLOOKUP(B58,#REF!,3))</f>
        <v/>
      </c>
      <c r="J58" s="6"/>
      <c r="K58" s="6"/>
      <c r="L58" s="6"/>
      <c r="M58" s="6"/>
      <c r="N58" s="7" t="str">
        <f>IF(B58="","",VLOOKUP(B58,#REF!,4))</f>
        <v/>
      </c>
      <c r="Q58" s="1"/>
    </row>
    <row r="59" spans="8:17" x14ac:dyDescent="0.2">
      <c r="H59" s="6" t="str">
        <f>IF(B59="","",VLOOKUP(B59,#REF!,2))</f>
        <v/>
      </c>
      <c r="I59" s="6" t="str">
        <f>IF(B59="","",VLOOKUP(B59,#REF!,3))</f>
        <v/>
      </c>
      <c r="J59" s="6"/>
      <c r="K59" s="6"/>
      <c r="L59" s="6"/>
      <c r="M59" s="6"/>
      <c r="N59" s="7" t="str">
        <f>IF(B59="","",VLOOKUP(B59,#REF!,4))</f>
        <v/>
      </c>
      <c r="Q59" s="1"/>
    </row>
    <row r="60" spans="8:17" x14ac:dyDescent="0.2">
      <c r="H60" s="6" t="str">
        <f>IF(B60="","",VLOOKUP(B60,#REF!,2))</f>
        <v/>
      </c>
      <c r="I60" s="6" t="str">
        <f>IF(B60="","",VLOOKUP(B60,#REF!,3))</f>
        <v/>
      </c>
      <c r="J60" s="6"/>
      <c r="K60" s="6"/>
      <c r="L60" s="6"/>
      <c r="M60" s="6"/>
      <c r="N60" s="7" t="str">
        <f>IF(B60="","",VLOOKUP(B60,#REF!,4))</f>
        <v/>
      </c>
      <c r="Q60" s="1"/>
    </row>
    <row r="61" spans="8:17" x14ac:dyDescent="0.2">
      <c r="H61" s="6" t="str">
        <f>IF(B61="","",VLOOKUP(B61,#REF!,2))</f>
        <v/>
      </c>
      <c r="I61" s="6" t="str">
        <f>IF(B61="","",VLOOKUP(B61,#REF!,3))</f>
        <v/>
      </c>
      <c r="J61" s="6"/>
      <c r="K61" s="6"/>
      <c r="L61" s="6"/>
      <c r="M61" s="6"/>
      <c r="N61" s="7" t="str">
        <f>IF(B61="","",VLOOKUP(B61,#REF!,4))</f>
        <v/>
      </c>
      <c r="Q61" s="1"/>
    </row>
    <row r="62" spans="8:17" x14ac:dyDescent="0.2">
      <c r="H62" s="6" t="str">
        <f>IF(B62="","",VLOOKUP(B62,#REF!,2))</f>
        <v/>
      </c>
      <c r="I62" s="6" t="str">
        <f>IF(B62="","",VLOOKUP(B62,#REF!,3))</f>
        <v/>
      </c>
      <c r="J62" s="6"/>
      <c r="K62" s="6"/>
      <c r="L62" s="6"/>
      <c r="M62" s="6"/>
      <c r="N62" s="7" t="str">
        <f>IF(B62="","",VLOOKUP(B62,#REF!,4))</f>
        <v/>
      </c>
      <c r="Q62" s="1"/>
    </row>
    <row r="63" spans="8:17" x14ac:dyDescent="0.2">
      <c r="H63" s="6" t="str">
        <f>IF(B63="","",VLOOKUP(B63,#REF!,2))</f>
        <v/>
      </c>
      <c r="I63" s="6" t="str">
        <f>IF(B63="","",VLOOKUP(B63,#REF!,3))</f>
        <v/>
      </c>
      <c r="J63" s="6"/>
      <c r="K63" s="6"/>
      <c r="L63" s="6"/>
      <c r="M63" s="6"/>
      <c r="N63" s="7" t="str">
        <f>IF(B63="","",VLOOKUP(B63,#REF!,4))</f>
        <v/>
      </c>
      <c r="Q63" s="1"/>
    </row>
    <row r="64" spans="8:17" x14ac:dyDescent="0.2">
      <c r="H64" s="6" t="str">
        <f>IF(B64="","",VLOOKUP(B64,#REF!,2))</f>
        <v/>
      </c>
      <c r="I64" s="6" t="str">
        <f>IF(B64="","",VLOOKUP(B64,#REF!,3))</f>
        <v/>
      </c>
      <c r="J64" s="6"/>
      <c r="K64" s="6"/>
      <c r="L64" s="6"/>
      <c r="M64" s="6"/>
      <c r="N64" s="7" t="str">
        <f>IF(B64="","",VLOOKUP(B64,#REF!,4))</f>
        <v/>
      </c>
      <c r="Q64" s="1"/>
    </row>
    <row r="65" spans="8:17" x14ac:dyDescent="0.2">
      <c r="H65" s="6" t="str">
        <f>IF(B65="","",VLOOKUP(B65,#REF!,2))</f>
        <v/>
      </c>
      <c r="I65" s="6" t="str">
        <f>IF(B65="","",VLOOKUP(B65,#REF!,3))</f>
        <v/>
      </c>
      <c r="J65" s="6"/>
      <c r="K65" s="6"/>
      <c r="L65" s="6"/>
      <c r="M65" s="6"/>
      <c r="N65" s="7" t="str">
        <f>IF(B65="","",VLOOKUP(B65,#REF!,4))</f>
        <v/>
      </c>
      <c r="Q65" s="1"/>
    </row>
    <row r="66" spans="8:17" x14ac:dyDescent="0.2">
      <c r="H66" s="6" t="str">
        <f>IF(B66="","",VLOOKUP(B66,#REF!,2))</f>
        <v/>
      </c>
      <c r="I66" s="6" t="str">
        <f>IF(B66="","",VLOOKUP(B66,#REF!,3))</f>
        <v/>
      </c>
      <c r="J66" s="6"/>
      <c r="K66" s="6"/>
      <c r="L66" s="6"/>
      <c r="M66" s="6"/>
      <c r="N66" s="7" t="str">
        <f>IF(B66="","",VLOOKUP(B66,#REF!,4))</f>
        <v/>
      </c>
      <c r="Q66" s="1"/>
    </row>
    <row r="67" spans="8:17" x14ac:dyDescent="0.2">
      <c r="H67" s="6" t="str">
        <f>IF(B67="","",VLOOKUP(B67,#REF!,2))</f>
        <v/>
      </c>
      <c r="I67" s="6" t="str">
        <f>IF(B67="","",VLOOKUP(B67,#REF!,3))</f>
        <v/>
      </c>
      <c r="J67" s="6"/>
      <c r="K67" s="6"/>
      <c r="L67" s="6"/>
      <c r="M67" s="6"/>
      <c r="N67" s="7" t="str">
        <f>IF(B67="","",VLOOKUP(B67,#REF!,4))</f>
        <v/>
      </c>
      <c r="Q67" s="1"/>
    </row>
    <row r="68" spans="8:17" x14ac:dyDescent="0.2">
      <c r="H68" s="6" t="str">
        <f>IF(B68="","",VLOOKUP(B68,#REF!,2))</f>
        <v/>
      </c>
      <c r="I68" s="6" t="str">
        <f>IF(B68="","",VLOOKUP(B68,#REF!,3))</f>
        <v/>
      </c>
      <c r="J68" s="6"/>
      <c r="K68" s="6"/>
      <c r="L68" s="6"/>
      <c r="M68" s="6"/>
      <c r="N68" s="7" t="str">
        <f>IF(B68="","",VLOOKUP(B68,#REF!,4))</f>
        <v/>
      </c>
      <c r="Q68" s="1"/>
    </row>
    <row r="69" spans="8:17" x14ac:dyDescent="0.2">
      <c r="H69" s="6" t="str">
        <f>IF(B69="","",VLOOKUP(B69,#REF!,2))</f>
        <v/>
      </c>
      <c r="I69" s="6" t="str">
        <f>IF(B69="","",VLOOKUP(B69,#REF!,3))</f>
        <v/>
      </c>
      <c r="J69" s="6"/>
      <c r="K69" s="6"/>
      <c r="L69" s="6"/>
      <c r="M69" s="6"/>
      <c r="N69" s="7" t="str">
        <f>IF(B69="","",VLOOKUP(B69,#REF!,4))</f>
        <v/>
      </c>
      <c r="Q69" s="1"/>
    </row>
    <row r="70" spans="8:17" x14ac:dyDescent="0.2">
      <c r="H70" s="6" t="str">
        <f>IF(B70="","",VLOOKUP(B70,#REF!,2))</f>
        <v/>
      </c>
      <c r="I70" s="6" t="str">
        <f>IF(B70="","",VLOOKUP(B70,#REF!,3))</f>
        <v/>
      </c>
      <c r="J70" s="6"/>
      <c r="K70" s="6"/>
      <c r="L70" s="6"/>
      <c r="M70" s="6"/>
      <c r="N70" s="7" t="str">
        <f>IF(B70="","",VLOOKUP(B70,#REF!,4))</f>
        <v/>
      </c>
      <c r="Q70" s="1"/>
    </row>
    <row r="71" spans="8:17" x14ac:dyDescent="0.2">
      <c r="H71" s="6" t="str">
        <f>IF(B71="","",VLOOKUP(B71,#REF!,2))</f>
        <v/>
      </c>
      <c r="I71" s="6" t="str">
        <f>IF(B71="","",VLOOKUP(B71,#REF!,3))</f>
        <v/>
      </c>
      <c r="J71" s="6"/>
      <c r="K71" s="6"/>
      <c r="L71" s="6"/>
      <c r="M71" s="6"/>
      <c r="N71" s="7" t="str">
        <f>IF(B71="","",VLOOKUP(B71,#REF!,4))</f>
        <v/>
      </c>
      <c r="Q71" s="1"/>
    </row>
    <row r="72" spans="8:17" x14ac:dyDescent="0.2">
      <c r="H72" s="6" t="str">
        <f>IF(B72="","",VLOOKUP(B72,#REF!,2))</f>
        <v/>
      </c>
      <c r="I72" s="6" t="str">
        <f>IF(B72="","",VLOOKUP(B72,#REF!,3))</f>
        <v/>
      </c>
      <c r="J72" s="6"/>
      <c r="K72" s="6"/>
      <c r="L72" s="6"/>
      <c r="M72" s="6"/>
      <c r="N72" s="7" t="str">
        <f>IF(B72="","",VLOOKUP(B72,#REF!,4))</f>
        <v/>
      </c>
      <c r="Q72" s="1"/>
    </row>
    <row r="73" spans="8:17" x14ac:dyDescent="0.2">
      <c r="H73" s="6" t="str">
        <f>IF(B73="","",VLOOKUP(B73,#REF!,2))</f>
        <v/>
      </c>
      <c r="I73" s="6" t="str">
        <f>IF(B73="","",VLOOKUP(B73,#REF!,3))</f>
        <v/>
      </c>
      <c r="J73" s="6"/>
      <c r="K73" s="6"/>
      <c r="L73" s="6"/>
      <c r="M73" s="6"/>
      <c r="N73" s="7" t="str">
        <f>IF(B73="","",VLOOKUP(B73,#REF!,4))</f>
        <v/>
      </c>
      <c r="Q73" s="1"/>
    </row>
    <row r="74" spans="8:17" x14ac:dyDescent="0.2">
      <c r="H74" s="6" t="str">
        <f>IF(B74="","",VLOOKUP(B74,#REF!,2))</f>
        <v/>
      </c>
      <c r="I74" s="6" t="str">
        <f>IF(B74="","",VLOOKUP(B74,#REF!,3))</f>
        <v/>
      </c>
      <c r="J74" s="6"/>
      <c r="K74" s="6"/>
      <c r="L74" s="6"/>
      <c r="M74" s="6"/>
      <c r="N74" s="7" t="str">
        <f>IF(B74="","",VLOOKUP(B74,#REF!,4))</f>
        <v/>
      </c>
      <c r="Q74" s="1"/>
    </row>
    <row r="75" spans="8:17" x14ac:dyDescent="0.2">
      <c r="H75" s="6" t="str">
        <f>IF(B75="","",VLOOKUP(B75,#REF!,2))</f>
        <v/>
      </c>
      <c r="I75" s="6" t="str">
        <f>IF(B75="","",VLOOKUP(B75,#REF!,3))</f>
        <v/>
      </c>
      <c r="J75" s="6"/>
      <c r="K75" s="6"/>
      <c r="L75" s="6"/>
      <c r="M75" s="6"/>
      <c r="N75" s="7" t="str">
        <f>IF(B75="","",VLOOKUP(B75,#REF!,4))</f>
        <v/>
      </c>
      <c r="Q75" s="1"/>
    </row>
    <row r="76" spans="8:17" x14ac:dyDescent="0.2">
      <c r="H76" s="6" t="str">
        <f>IF(B76="","",VLOOKUP(B76,#REF!,2))</f>
        <v/>
      </c>
      <c r="I76" s="6" t="str">
        <f>IF(B76="","",VLOOKUP(B76,#REF!,3))</f>
        <v/>
      </c>
      <c r="J76" s="6"/>
      <c r="K76" s="6"/>
      <c r="L76" s="6"/>
      <c r="M76" s="6"/>
      <c r="N76" s="7" t="str">
        <f>IF(B76="","",VLOOKUP(B76,#REF!,4))</f>
        <v/>
      </c>
      <c r="Q76" s="1"/>
    </row>
    <row r="77" spans="8:17" x14ac:dyDescent="0.2">
      <c r="H77" s="6" t="str">
        <f>IF(B77="","",VLOOKUP(B77,#REF!,2))</f>
        <v/>
      </c>
      <c r="I77" s="6" t="str">
        <f>IF(B77="","",VLOOKUP(B77,#REF!,3))</f>
        <v/>
      </c>
      <c r="J77" s="6"/>
      <c r="K77" s="6"/>
      <c r="L77" s="6"/>
      <c r="M77" s="6"/>
      <c r="N77" s="7" t="str">
        <f>IF(B77="","",VLOOKUP(B77,#REF!,4))</f>
        <v/>
      </c>
      <c r="Q77" s="1"/>
    </row>
    <row r="78" spans="8:17" x14ac:dyDescent="0.2">
      <c r="H78" s="6" t="str">
        <f>IF(B78="","",VLOOKUP(B78,#REF!,2))</f>
        <v/>
      </c>
      <c r="I78" s="6" t="str">
        <f>IF(B78="","",VLOOKUP(B78,#REF!,3))</f>
        <v/>
      </c>
      <c r="J78" s="6"/>
      <c r="K78" s="6"/>
      <c r="L78" s="6"/>
      <c r="M78" s="6"/>
      <c r="N78" s="7" t="str">
        <f>IF(B78="","",VLOOKUP(B78,#REF!,4))</f>
        <v/>
      </c>
      <c r="Q78" s="1"/>
    </row>
    <row r="79" spans="8:17" x14ac:dyDescent="0.2">
      <c r="H79" s="6" t="str">
        <f>IF(B79="","",VLOOKUP(B79,#REF!,2))</f>
        <v/>
      </c>
      <c r="I79" s="6" t="str">
        <f>IF(B79="","",VLOOKUP(B79,#REF!,3))</f>
        <v/>
      </c>
      <c r="J79" s="6"/>
      <c r="K79" s="6"/>
      <c r="L79" s="6"/>
      <c r="M79" s="6"/>
      <c r="N79" s="7" t="str">
        <f>IF(B79="","",VLOOKUP(B79,#REF!,4))</f>
        <v/>
      </c>
      <c r="Q79" s="1"/>
    </row>
    <row r="80" spans="8:17" x14ac:dyDescent="0.2">
      <c r="H80" s="6" t="str">
        <f>IF(B80="","",VLOOKUP(B80,#REF!,2))</f>
        <v/>
      </c>
      <c r="I80" s="6" t="str">
        <f>IF(B80="","",VLOOKUP(B80,#REF!,3))</f>
        <v/>
      </c>
      <c r="J80" s="6"/>
      <c r="K80" s="6"/>
      <c r="L80" s="6"/>
      <c r="M80" s="6"/>
      <c r="N80" s="7" t="str">
        <f>IF(B80="","",VLOOKUP(B80,#REF!,4))</f>
        <v/>
      </c>
      <c r="Q80" s="1"/>
    </row>
    <row r="81" spans="8:17" x14ac:dyDescent="0.2">
      <c r="H81" s="6" t="str">
        <f>IF(B81="","",VLOOKUP(B81,#REF!,2))</f>
        <v/>
      </c>
      <c r="I81" s="6" t="str">
        <f>IF(B81="","",VLOOKUP(B81,#REF!,3))</f>
        <v/>
      </c>
      <c r="J81" s="6"/>
      <c r="K81" s="6"/>
      <c r="L81" s="6"/>
      <c r="M81" s="6"/>
      <c r="N81" s="7" t="str">
        <f>IF(B81="","",VLOOKUP(B81,#REF!,4))</f>
        <v/>
      </c>
      <c r="Q81" s="1"/>
    </row>
    <row r="82" spans="8:17" x14ac:dyDescent="0.2">
      <c r="H82" s="6" t="str">
        <f>IF(B82="","",VLOOKUP(B82,#REF!,2))</f>
        <v/>
      </c>
      <c r="I82" s="6" t="str">
        <f>IF(B82="","",VLOOKUP(B82,#REF!,3))</f>
        <v/>
      </c>
      <c r="J82" s="6"/>
      <c r="K82" s="6"/>
      <c r="L82" s="6"/>
      <c r="M82" s="6"/>
      <c r="N82" s="7" t="str">
        <f>IF(B82="","",VLOOKUP(B82,#REF!,4))</f>
        <v/>
      </c>
      <c r="Q82" s="1"/>
    </row>
    <row r="83" spans="8:17" x14ac:dyDescent="0.2">
      <c r="H83" s="6" t="str">
        <f>IF(B83="","",VLOOKUP(B83,#REF!,2))</f>
        <v/>
      </c>
      <c r="I83" s="6" t="str">
        <f>IF(B83="","",VLOOKUP(B83,#REF!,3))</f>
        <v/>
      </c>
      <c r="J83" s="6"/>
      <c r="K83" s="6"/>
      <c r="L83" s="6"/>
      <c r="M83" s="6"/>
      <c r="N83" s="7" t="str">
        <f>IF(B83="","",VLOOKUP(B83,#REF!,4))</f>
        <v/>
      </c>
      <c r="Q83" s="1"/>
    </row>
    <row r="84" spans="8:17" x14ac:dyDescent="0.2">
      <c r="H84" s="6" t="str">
        <f>IF(B84="","",VLOOKUP(B84,#REF!,2))</f>
        <v/>
      </c>
      <c r="I84" s="6" t="str">
        <f>IF(B84="","",VLOOKUP(B84,#REF!,3))</f>
        <v/>
      </c>
      <c r="J84" s="6"/>
      <c r="K84" s="6"/>
      <c r="L84" s="6"/>
      <c r="M84" s="6"/>
      <c r="N84" s="7" t="str">
        <f>IF(B84="","",VLOOKUP(B84,#REF!,4))</f>
        <v/>
      </c>
      <c r="Q84" s="1"/>
    </row>
    <row r="85" spans="8:17" x14ac:dyDescent="0.2">
      <c r="H85" s="6" t="str">
        <f>IF(B85="","",VLOOKUP(B85,#REF!,2))</f>
        <v/>
      </c>
      <c r="I85" s="6" t="str">
        <f>IF(B85="","",VLOOKUP(B85,#REF!,3))</f>
        <v/>
      </c>
      <c r="J85" s="6"/>
      <c r="K85" s="6"/>
      <c r="L85" s="6"/>
      <c r="M85" s="6"/>
      <c r="N85" s="7" t="str">
        <f>IF(B85="","",VLOOKUP(B85,#REF!,4))</f>
        <v/>
      </c>
      <c r="Q85" s="1"/>
    </row>
    <row r="86" spans="8:17" x14ac:dyDescent="0.2">
      <c r="H86" s="6" t="str">
        <f>IF(B86="","",VLOOKUP(B86,#REF!,2))</f>
        <v/>
      </c>
      <c r="I86" s="6" t="str">
        <f>IF(B86="","",VLOOKUP(B86,#REF!,3))</f>
        <v/>
      </c>
      <c r="J86" s="6"/>
      <c r="K86" s="6"/>
      <c r="L86" s="6"/>
      <c r="M86" s="6"/>
      <c r="N86" s="7" t="str">
        <f>IF(B86="","",VLOOKUP(B86,#REF!,4))</f>
        <v/>
      </c>
      <c r="Q86" s="1"/>
    </row>
    <row r="87" spans="8:17" x14ac:dyDescent="0.2">
      <c r="H87" s="6" t="str">
        <f>IF(B87="","",VLOOKUP(B87,#REF!,2))</f>
        <v/>
      </c>
      <c r="I87" s="6" t="str">
        <f>IF(B87="","",VLOOKUP(B87,#REF!,3))</f>
        <v/>
      </c>
      <c r="J87" s="6"/>
      <c r="K87" s="6"/>
      <c r="L87" s="6"/>
      <c r="M87" s="6"/>
      <c r="N87" s="7" t="str">
        <f>IF(B87="","",VLOOKUP(B87,#REF!,4))</f>
        <v/>
      </c>
      <c r="Q87" s="1"/>
    </row>
    <row r="88" spans="8:17" x14ac:dyDescent="0.2">
      <c r="H88" s="6" t="str">
        <f>IF(B88="","",VLOOKUP(B88,#REF!,2))</f>
        <v/>
      </c>
      <c r="I88" s="6" t="str">
        <f>IF(B88="","",VLOOKUP(B88,#REF!,3))</f>
        <v/>
      </c>
      <c r="J88" s="6"/>
      <c r="K88" s="6"/>
      <c r="L88" s="6"/>
      <c r="M88" s="6"/>
      <c r="N88" s="7" t="str">
        <f>IF(B88="","",VLOOKUP(B88,#REF!,4))</f>
        <v/>
      </c>
      <c r="Q88" s="1"/>
    </row>
    <row r="89" spans="8:17" x14ac:dyDescent="0.2">
      <c r="H89" s="6" t="str">
        <f>IF(B89="","",VLOOKUP(B89,#REF!,2))</f>
        <v/>
      </c>
      <c r="I89" s="6" t="str">
        <f>IF(B89="","",VLOOKUP(B89,#REF!,3))</f>
        <v/>
      </c>
      <c r="J89" s="6"/>
      <c r="K89" s="6"/>
      <c r="L89" s="6"/>
      <c r="M89" s="6"/>
      <c r="N89" s="7" t="str">
        <f>IF(B89="","",VLOOKUP(B89,#REF!,4))</f>
        <v/>
      </c>
      <c r="Q89" s="1"/>
    </row>
    <row r="90" spans="8:17" x14ac:dyDescent="0.2">
      <c r="H90" s="6" t="str">
        <f>IF(B90="","",VLOOKUP(B90,#REF!,2))</f>
        <v/>
      </c>
      <c r="I90" s="6" t="str">
        <f>IF(B90="","",VLOOKUP(B90,#REF!,3))</f>
        <v/>
      </c>
      <c r="J90" s="6"/>
      <c r="K90" s="6"/>
      <c r="L90" s="6"/>
      <c r="M90" s="6"/>
      <c r="N90" s="7" t="str">
        <f>IF(B90="","",VLOOKUP(B90,#REF!,4))</f>
        <v/>
      </c>
      <c r="Q90" s="1"/>
    </row>
    <row r="91" spans="8:17" x14ac:dyDescent="0.2">
      <c r="H91" s="6" t="str">
        <f>IF(B91="","",VLOOKUP(B91,#REF!,2))</f>
        <v/>
      </c>
      <c r="I91" s="6" t="str">
        <f>IF(B91="","",VLOOKUP(B91,#REF!,3))</f>
        <v/>
      </c>
      <c r="J91" s="6"/>
      <c r="K91" s="6"/>
      <c r="L91" s="6"/>
      <c r="M91" s="6"/>
      <c r="N91" s="7" t="str">
        <f>IF(B91="","",VLOOKUP(B91,#REF!,4))</f>
        <v/>
      </c>
      <c r="Q91" s="1"/>
    </row>
    <row r="92" spans="8:17" x14ac:dyDescent="0.2">
      <c r="H92" s="6" t="str">
        <f>IF(B92="","",VLOOKUP(B92,#REF!,2))</f>
        <v/>
      </c>
      <c r="I92" s="6" t="str">
        <f>IF(B92="","",VLOOKUP(B92,#REF!,3))</f>
        <v/>
      </c>
      <c r="J92" s="6"/>
      <c r="K92" s="6"/>
      <c r="L92" s="6"/>
      <c r="M92" s="6"/>
      <c r="N92" s="7" t="str">
        <f>IF(B92="","",VLOOKUP(B92,#REF!,4))</f>
        <v/>
      </c>
      <c r="Q92" s="1"/>
    </row>
    <row r="93" spans="8:17" x14ac:dyDescent="0.2">
      <c r="H93" s="6" t="str">
        <f>IF(B93="","",VLOOKUP(B93,#REF!,2))</f>
        <v/>
      </c>
      <c r="I93" s="6" t="str">
        <f>IF(B93="","",VLOOKUP(B93,#REF!,3))</f>
        <v/>
      </c>
      <c r="J93" s="6"/>
      <c r="K93" s="6"/>
      <c r="L93" s="6"/>
      <c r="M93" s="6"/>
      <c r="N93" s="7" t="str">
        <f>IF(B93="","",VLOOKUP(B93,#REF!,4))</f>
        <v/>
      </c>
      <c r="Q93" s="1"/>
    </row>
    <row r="94" spans="8:17" x14ac:dyDescent="0.2">
      <c r="H94" s="6" t="str">
        <f>IF(B94="","",VLOOKUP(B94,#REF!,2))</f>
        <v/>
      </c>
      <c r="I94" s="6" t="str">
        <f>IF(B94="","",VLOOKUP(B94,#REF!,3))</f>
        <v/>
      </c>
      <c r="J94" s="6"/>
      <c r="K94" s="6"/>
      <c r="L94" s="6"/>
      <c r="M94" s="6"/>
      <c r="N94" s="7" t="str">
        <f>IF(B94="","",VLOOKUP(B94,#REF!,4))</f>
        <v/>
      </c>
      <c r="Q94" s="1"/>
    </row>
    <row r="95" spans="8:17" x14ac:dyDescent="0.2">
      <c r="H95" s="6" t="str">
        <f>IF(B95="","",VLOOKUP(B95,#REF!,2))</f>
        <v/>
      </c>
      <c r="I95" s="6" t="str">
        <f>IF(B95="","",VLOOKUP(B95,#REF!,3))</f>
        <v/>
      </c>
      <c r="J95" s="6"/>
      <c r="K95" s="6"/>
      <c r="L95" s="6"/>
      <c r="M95" s="6"/>
      <c r="N95" s="7" t="str">
        <f>IF(B95="","",VLOOKUP(B95,#REF!,4))</f>
        <v/>
      </c>
      <c r="Q95" s="1"/>
    </row>
    <row r="96" spans="8:17" x14ac:dyDescent="0.2">
      <c r="H96" s="6" t="str">
        <f>IF(B96="","",VLOOKUP(B96,#REF!,2))</f>
        <v/>
      </c>
      <c r="I96" s="6" t="str">
        <f>IF(B96="","",VLOOKUP(B96,#REF!,3))</f>
        <v/>
      </c>
      <c r="J96" s="6"/>
      <c r="K96" s="6"/>
      <c r="L96" s="6"/>
      <c r="M96" s="6"/>
      <c r="N96" s="7" t="str">
        <f>IF(B96="","",VLOOKUP(B96,#REF!,4))</f>
        <v/>
      </c>
      <c r="Q96" s="1"/>
    </row>
    <row r="97" spans="8:17" x14ac:dyDescent="0.2">
      <c r="H97" s="6" t="str">
        <f>IF(B97="","",VLOOKUP(B97,#REF!,2))</f>
        <v/>
      </c>
      <c r="I97" s="6" t="str">
        <f>IF(B97="","",VLOOKUP(B97,#REF!,3))</f>
        <v/>
      </c>
      <c r="J97" s="6"/>
      <c r="K97" s="6"/>
      <c r="L97" s="6"/>
      <c r="M97" s="6"/>
      <c r="N97" s="7" t="str">
        <f>IF(B97="","",VLOOKUP(B97,#REF!,4))</f>
        <v/>
      </c>
      <c r="Q97" s="1"/>
    </row>
    <row r="98" spans="8:17" x14ac:dyDescent="0.2">
      <c r="H98" s="6" t="str">
        <f>IF(B98="","",VLOOKUP(B98,#REF!,2))</f>
        <v/>
      </c>
      <c r="I98" s="6" t="str">
        <f>IF(B98="","",VLOOKUP(B98,#REF!,3))</f>
        <v/>
      </c>
      <c r="J98" s="6"/>
      <c r="K98" s="6"/>
      <c r="L98" s="6"/>
      <c r="M98" s="6"/>
      <c r="N98" s="7" t="str">
        <f>IF(B98="","",VLOOKUP(B98,#REF!,4))</f>
        <v/>
      </c>
      <c r="Q98" s="1"/>
    </row>
    <row r="99" spans="8:17" x14ac:dyDescent="0.2">
      <c r="H99" s="6" t="str">
        <f>IF(B99="","",VLOOKUP(B99,#REF!,2))</f>
        <v/>
      </c>
      <c r="I99" s="6" t="str">
        <f>IF(B99="","",VLOOKUP(B99,#REF!,3))</f>
        <v/>
      </c>
      <c r="J99" s="6"/>
      <c r="K99" s="6"/>
      <c r="L99" s="6"/>
      <c r="M99" s="6"/>
      <c r="N99" s="7" t="str">
        <f>IF(B99="","",VLOOKUP(B99,#REF!,4))</f>
        <v/>
      </c>
      <c r="Q99" s="1"/>
    </row>
    <row r="100" spans="8:17" x14ac:dyDescent="0.2">
      <c r="H100" s="6" t="str">
        <f>IF(B100="","",VLOOKUP(B100,#REF!,2))</f>
        <v/>
      </c>
      <c r="I100" s="6" t="str">
        <f>IF(B100="","",VLOOKUP(B100,#REF!,3))</f>
        <v/>
      </c>
      <c r="J100" s="6"/>
      <c r="K100" s="6"/>
      <c r="L100" s="6"/>
      <c r="M100" s="6"/>
      <c r="N100" s="7" t="str">
        <f>IF(B100="","",VLOOKUP(B100,#REF!,4))</f>
        <v/>
      </c>
      <c r="Q100" s="1"/>
    </row>
    <row r="101" spans="8:17" x14ac:dyDescent="0.2">
      <c r="H101" s="6" t="str">
        <f>IF(B101="","",VLOOKUP(B101,#REF!,2))</f>
        <v/>
      </c>
      <c r="I101" s="6" t="str">
        <f>IF(B101="","",VLOOKUP(B101,#REF!,3))</f>
        <v/>
      </c>
      <c r="J101" s="6"/>
      <c r="K101" s="6"/>
      <c r="L101" s="6"/>
      <c r="M101" s="6"/>
      <c r="N101" s="7" t="str">
        <f>IF(B101="","",VLOOKUP(B101,#REF!,4))</f>
        <v/>
      </c>
      <c r="Q101" s="1"/>
    </row>
    <row r="102" spans="8:17" x14ac:dyDescent="0.2">
      <c r="H102" s="6" t="str">
        <f>IF(B102="","",VLOOKUP(B102,#REF!,2))</f>
        <v/>
      </c>
      <c r="I102" s="6" t="str">
        <f>IF(B102="","",VLOOKUP(B102,#REF!,3))</f>
        <v/>
      </c>
      <c r="J102" s="6"/>
      <c r="K102" s="6"/>
      <c r="L102" s="6"/>
      <c r="M102" s="6"/>
      <c r="N102" s="7" t="str">
        <f>IF(B102="","",VLOOKUP(B102,#REF!,4))</f>
        <v/>
      </c>
      <c r="Q102" s="1"/>
    </row>
    <row r="103" spans="8:17" x14ac:dyDescent="0.2">
      <c r="H103" s="6" t="str">
        <f>IF(B103="","",VLOOKUP(B103,#REF!,2))</f>
        <v/>
      </c>
      <c r="I103" s="6" t="str">
        <f>IF(B103="","",VLOOKUP(B103,#REF!,3))</f>
        <v/>
      </c>
      <c r="J103" s="6"/>
      <c r="K103" s="6"/>
      <c r="L103" s="6"/>
      <c r="M103" s="6"/>
      <c r="N103" s="7" t="str">
        <f>IF(B103="","",VLOOKUP(B103,#REF!,4))</f>
        <v/>
      </c>
      <c r="Q103" s="1"/>
    </row>
  </sheetData>
  <dataConsolidate>
    <dataRefs count="2">
      <dataRef ref="A1:L11" sheet="Refrigeration BOM(Markup)" r:id="rId1"/>
      <dataRef ref="A1:H3" sheet="Sheet1" r:id="rId2"/>
    </dataRefs>
  </dataConsolidate>
  <mergeCells count="93">
    <mergeCell ref="B23:C23"/>
    <mergeCell ref="D23:E23"/>
    <mergeCell ref="F23:H23"/>
    <mergeCell ref="I23:M23"/>
    <mergeCell ref="B24:C24"/>
    <mergeCell ref="D24:E24"/>
    <mergeCell ref="F24:H24"/>
    <mergeCell ref="I24:M24"/>
    <mergeCell ref="B25:C25"/>
    <mergeCell ref="D25:E25"/>
    <mergeCell ref="F25:H25"/>
    <mergeCell ref="I25:M25"/>
    <mergeCell ref="B26:C26"/>
    <mergeCell ref="D26:E26"/>
    <mergeCell ref="F26:H26"/>
    <mergeCell ref="I26:M26"/>
    <mergeCell ref="B19:C19"/>
    <mergeCell ref="D19:E19"/>
    <mergeCell ref="F19:H19"/>
    <mergeCell ref="I19:M19"/>
    <mergeCell ref="B20:C20"/>
    <mergeCell ref="D20:E20"/>
    <mergeCell ref="F20:H20"/>
    <mergeCell ref="I20:M20"/>
    <mergeCell ref="B21:C21"/>
    <mergeCell ref="D21:E21"/>
    <mergeCell ref="F21:H21"/>
    <mergeCell ref="I21:M21"/>
    <mergeCell ref="B22:C22"/>
    <mergeCell ref="D22:E22"/>
    <mergeCell ref="F22:H22"/>
    <mergeCell ref="I22:M22"/>
    <mergeCell ref="B15:C15"/>
    <mergeCell ref="D15:E15"/>
    <mergeCell ref="F15:H15"/>
    <mergeCell ref="I15:M15"/>
    <mergeCell ref="B16:C16"/>
    <mergeCell ref="D16:E16"/>
    <mergeCell ref="F16:H16"/>
    <mergeCell ref="I16:M16"/>
    <mergeCell ref="B17:C17"/>
    <mergeCell ref="D17:E17"/>
    <mergeCell ref="F17:H17"/>
    <mergeCell ref="I17:M17"/>
    <mergeCell ref="B18:C18"/>
    <mergeCell ref="D18:E18"/>
    <mergeCell ref="F18:H18"/>
    <mergeCell ref="I18:M18"/>
    <mergeCell ref="B11:C11"/>
    <mergeCell ref="D11:E11"/>
    <mergeCell ref="F11:H11"/>
    <mergeCell ref="I11:M11"/>
    <mergeCell ref="B12:C12"/>
    <mergeCell ref="D12:E12"/>
    <mergeCell ref="F12:H12"/>
    <mergeCell ref="I12:M12"/>
    <mergeCell ref="B13:C13"/>
    <mergeCell ref="D13:E13"/>
    <mergeCell ref="F13:H13"/>
    <mergeCell ref="I13:M13"/>
    <mergeCell ref="B14:C14"/>
    <mergeCell ref="D14:E14"/>
    <mergeCell ref="F14:H14"/>
    <mergeCell ref="I14:M14"/>
    <mergeCell ref="A4:B4"/>
    <mergeCell ref="C4:E4"/>
    <mergeCell ref="I4:J4"/>
    <mergeCell ref="K4:M4"/>
    <mergeCell ref="A5:B5"/>
    <mergeCell ref="C5:D5"/>
    <mergeCell ref="I5:J5"/>
    <mergeCell ref="K5:L5"/>
    <mergeCell ref="I7:M7"/>
    <mergeCell ref="B9:C9"/>
    <mergeCell ref="D9:E9"/>
    <mergeCell ref="F9:H9"/>
    <mergeCell ref="I9:M9"/>
    <mergeCell ref="B10:C10"/>
    <mergeCell ref="D10:E10"/>
    <mergeCell ref="F10:H10"/>
    <mergeCell ref="I10:M10"/>
    <mergeCell ref="A1:N1"/>
    <mergeCell ref="A2:B2"/>
    <mergeCell ref="C2:G2"/>
    <mergeCell ref="I2:J2"/>
    <mergeCell ref="K2:M2"/>
    <mergeCell ref="A3:B3"/>
    <mergeCell ref="C3:G3"/>
    <mergeCell ref="I3:J3"/>
    <mergeCell ref="K3:M3"/>
    <mergeCell ref="B7:C7"/>
    <mergeCell ref="D7:E7"/>
    <mergeCell ref="F7:H7"/>
  </mergeCells>
  <dataValidations count="2">
    <dataValidation type="list" allowBlank="1" showInputMessage="1" sqref="B9:C9">
      <formula1>#REF!</formula1>
    </dataValidation>
    <dataValidation type="list" allowBlank="1" showInputMessage="1" sqref="B27:C103">
      <formula1>#REF!</formula1>
    </dataValidation>
  </dataValidations>
  <pageMargins left="0.7" right="0.7" top="0.75" bottom="0.75" header="0.3" footer="0.3"/>
  <pageSetup scale="84" fitToHeight="0" orientation="portrait" r:id="rId3"/>
  <headerFooter>
    <oddFooter>&amp;L&amp;F&amp;RPage &amp;P/&amp;N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6" name="Button 1">
              <controlPr defaultSize="0" print="0" autoFill="0" autoPict="0" macro="[0]!ExportBoM">
                <anchor moveWithCells="1" sizeWithCells="1">
                  <from>
                    <xdr:col>15</xdr:col>
                    <xdr:colOff>9525</xdr:colOff>
                    <xdr:row>1</xdr:row>
                    <xdr:rowOff>0</xdr:rowOff>
                  </from>
                  <to>
                    <xdr:col>16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7" name="Button 2">
              <controlPr defaultSize="0" print="0" autoFill="0" autoPict="0" macro="[0]!import_BoM_from_ref_job_old">
                <anchor moveWithCells="1" sizeWithCells="1">
                  <from>
                    <xdr:col>15</xdr:col>
                    <xdr:colOff>9525</xdr:colOff>
                    <xdr:row>4</xdr:row>
                    <xdr:rowOff>0</xdr:rowOff>
                  </from>
                  <to>
                    <xdr:col>16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8" name="Button 3">
              <controlPr defaultSize="0" print="0" autoFill="0" autoPict="0" macro="[0]!VisImport">
                <anchor moveWithCells="1" sizeWithCells="1">
                  <from>
                    <xdr:col>18</xdr:col>
                    <xdr:colOff>9525</xdr:colOff>
                    <xdr:row>1</xdr:row>
                    <xdr:rowOff>0</xdr:rowOff>
                  </from>
                  <to>
                    <xdr:col>19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9" name="Button 4">
              <controlPr defaultSize="0" print="0" autoFill="0" autoPict="0" macro="[0]!MakeStaticSheet">
                <anchor moveWithCells="1" sizeWithCells="1">
                  <from>
                    <xdr:col>21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10" name="Button 5">
              <controlPr defaultSize="0" print="0" autoFill="0" autoPict="0" macro="[0]!ConvertECMarkup">
                <anchor moveWithCells="1" sizeWithCells="1">
                  <from>
                    <xdr:col>24</xdr:col>
                    <xdr:colOff>9525</xdr:colOff>
                    <xdr:row>1</xdr:row>
                    <xdr:rowOff>0</xdr:rowOff>
                  </from>
                  <to>
                    <xdr:col>25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11" name="Button 6">
              <controlPr defaultSize="0" print="0" autoFill="0" autoPict="0" macro="[0]!ec_markup_generator_old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22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2" name="Button 7">
              <controlPr defaultSize="0" print="0" autoFill="0" autoPict="0" macro="[0]!import_BoM_from_ref_job_new">
                <anchor moveWithCells="1" sizeWithCells="1">
                  <from>
                    <xdr:col>18</xdr:col>
                    <xdr:colOff>9525</xdr:colOff>
                    <xdr:row>4</xdr:row>
                    <xdr:rowOff>0</xdr:rowOff>
                  </from>
                  <to>
                    <xdr:col>19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3" name="Button 8">
              <controlPr defaultSize="0" print="0" autoFill="0" autoPict="0" macro="[0]!ec_markup_one_row">
                <anchor moveWithCells="1" sizeWithCells="1">
                  <from>
                    <xdr:col>27</xdr:col>
                    <xdr:colOff>9525</xdr:colOff>
                    <xdr:row>4</xdr:row>
                    <xdr:rowOff>0</xdr:rowOff>
                  </from>
                  <to>
                    <xdr:col>28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4" name="Button 9">
              <controlPr defaultSize="0" print="0" autoFill="0" autoPict="0" macro="[0]!import_BoM_from_ref_job_new">
                <anchor moveWithCells="1" sizeWithCells="1">
                  <from>
                    <xdr:col>24</xdr:col>
                    <xdr:colOff>9525</xdr:colOff>
                    <xdr:row>4</xdr:row>
                    <xdr:rowOff>0</xdr:rowOff>
                  </from>
                  <to>
                    <xdr:col>25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>
          <x14:formula1>
            <xm:f>'Part ID'!$B:$B</xm:f>
          </x14:formula1>
          <xm:sqref>B10:C26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567"/>
  <sheetViews>
    <sheetView workbookViewId="0">
      <selection activeCell="B49" sqref="B49"/>
    </sheetView>
  </sheetViews>
  <sheetFormatPr defaultRowHeight="12.75" x14ac:dyDescent="0.2"/>
  <cols>
    <col min="1" max="1" width="5.140625" bestFit="1" customWidth="1"/>
    <col min="2" max="2" width="15.28515625" bestFit="1" customWidth="1"/>
    <col min="3" max="3" width="81.140625" bestFit="1" customWidth="1"/>
    <col min="4" max="4" width="50" bestFit="1" customWidth="1"/>
    <col min="5" max="5" width="33" bestFit="1" customWidth="1"/>
    <col min="6" max="6" width="15.140625" bestFit="1" customWidth="1"/>
    <col min="7" max="7" width="12.28515625" bestFit="1" customWidth="1"/>
    <col min="8" max="8" width="81.140625" bestFit="1" customWidth="1"/>
    <col min="9" max="9" width="22.28515625" bestFit="1" customWidth="1"/>
  </cols>
  <sheetData>
    <row r="1" spans="1:9" x14ac:dyDescent="0.2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</row>
    <row r="2" spans="1:9" x14ac:dyDescent="0.2">
      <c r="A2">
        <v>1558</v>
      </c>
      <c r="B2" t="s">
        <v>4566</v>
      </c>
      <c r="C2" t="s">
        <v>4567</v>
      </c>
      <c r="D2" t="s">
        <v>40</v>
      </c>
      <c r="E2" t="s">
        <v>4568</v>
      </c>
      <c r="F2">
        <v>0</v>
      </c>
      <c r="G2" t="s">
        <v>42</v>
      </c>
      <c r="I2" s="26">
        <v>43259</v>
      </c>
    </row>
    <row r="3" spans="1:9" x14ac:dyDescent="0.2">
      <c r="A3">
        <v>1559</v>
      </c>
      <c r="B3" t="s">
        <v>4569</v>
      </c>
      <c r="C3" t="s">
        <v>4570</v>
      </c>
      <c r="D3" t="s">
        <v>1206</v>
      </c>
      <c r="E3" t="s">
        <v>4571</v>
      </c>
      <c r="F3">
        <v>81.430000000000007</v>
      </c>
      <c r="G3" t="s">
        <v>1208</v>
      </c>
      <c r="I3" s="26">
        <v>43264</v>
      </c>
    </row>
    <row r="4" spans="1:9" x14ac:dyDescent="0.2">
      <c r="A4">
        <v>1560</v>
      </c>
      <c r="B4" t="s">
        <v>4586</v>
      </c>
      <c r="C4" t="s">
        <v>4587</v>
      </c>
      <c r="D4" t="s">
        <v>1628</v>
      </c>
      <c r="E4" t="s">
        <v>4588</v>
      </c>
      <c r="F4">
        <v>1.63</v>
      </c>
      <c r="G4" t="s">
        <v>1630</v>
      </c>
      <c r="I4" s="26">
        <v>43265</v>
      </c>
    </row>
    <row r="5" spans="1:9" x14ac:dyDescent="0.2">
      <c r="A5">
        <v>1561</v>
      </c>
      <c r="B5" t="s">
        <v>4589</v>
      </c>
      <c r="C5" t="s">
        <v>4590</v>
      </c>
      <c r="D5" t="s">
        <v>4241</v>
      </c>
      <c r="E5" t="s">
        <v>4591</v>
      </c>
      <c r="F5">
        <v>8.89</v>
      </c>
      <c r="G5" t="s">
        <v>4243</v>
      </c>
      <c r="I5" s="26">
        <v>43271</v>
      </c>
    </row>
    <row r="6" spans="1:9" x14ac:dyDescent="0.2">
      <c r="A6">
        <v>1562</v>
      </c>
      <c r="B6" t="s">
        <v>4592</v>
      </c>
      <c r="C6" t="s">
        <v>4593</v>
      </c>
      <c r="D6" t="s">
        <v>4558</v>
      </c>
      <c r="E6" t="s">
        <v>4594</v>
      </c>
      <c r="F6">
        <v>1.57</v>
      </c>
      <c r="G6" t="s">
        <v>610</v>
      </c>
      <c r="I6" s="26">
        <v>43271</v>
      </c>
    </row>
    <row r="7" spans="1:9" x14ac:dyDescent="0.2">
      <c r="A7">
        <v>1563</v>
      </c>
      <c r="B7" t="s">
        <v>4595</v>
      </c>
      <c r="C7" t="s">
        <v>4596</v>
      </c>
      <c r="D7" t="s">
        <v>3293</v>
      </c>
      <c r="E7" t="s">
        <v>4597</v>
      </c>
      <c r="F7">
        <v>5.34</v>
      </c>
      <c r="G7" t="s">
        <v>3295</v>
      </c>
      <c r="I7" s="26">
        <v>43271</v>
      </c>
    </row>
    <row r="8" spans="1:9" x14ac:dyDescent="0.2">
      <c r="A8">
        <v>1564</v>
      </c>
      <c r="B8" t="s">
        <v>4598</v>
      </c>
      <c r="C8" t="s">
        <v>4599</v>
      </c>
      <c r="D8" t="s">
        <v>4429</v>
      </c>
      <c r="E8" t="s">
        <v>4600</v>
      </c>
      <c r="F8">
        <v>11.84375</v>
      </c>
      <c r="G8" t="s">
        <v>4428</v>
      </c>
      <c r="I8" s="26">
        <v>43271</v>
      </c>
    </row>
    <row r="9" spans="1:9" x14ac:dyDescent="0.2">
      <c r="A9">
        <v>1565</v>
      </c>
      <c r="B9" t="s">
        <v>4601</v>
      </c>
      <c r="C9" t="s">
        <v>4602</v>
      </c>
      <c r="D9" t="s">
        <v>1206</v>
      </c>
      <c r="E9" t="s">
        <v>4603</v>
      </c>
      <c r="F9">
        <v>2.35</v>
      </c>
      <c r="G9" t="s">
        <v>1208</v>
      </c>
      <c r="I9" s="26">
        <v>43271</v>
      </c>
    </row>
    <row r="10" spans="1:9" x14ac:dyDescent="0.2">
      <c r="A10">
        <v>1566</v>
      </c>
      <c r="B10" t="s">
        <v>4604</v>
      </c>
      <c r="C10" t="s">
        <v>4605</v>
      </c>
      <c r="D10" t="s">
        <v>4558</v>
      </c>
      <c r="E10" t="s">
        <v>4604</v>
      </c>
      <c r="F10">
        <v>62.5</v>
      </c>
      <c r="G10" t="s">
        <v>610</v>
      </c>
      <c r="I10" s="26">
        <v>43271</v>
      </c>
    </row>
    <row r="11" spans="1:9" x14ac:dyDescent="0.2">
      <c r="A11">
        <v>1567</v>
      </c>
      <c r="B11" t="s">
        <v>4606</v>
      </c>
      <c r="C11" t="s">
        <v>4607</v>
      </c>
      <c r="D11" t="s">
        <v>1628</v>
      </c>
      <c r="E11" t="s">
        <v>4608</v>
      </c>
      <c r="F11">
        <v>1.0900000000000001</v>
      </c>
      <c r="G11" t="s">
        <v>1630</v>
      </c>
      <c r="I11" s="26">
        <v>43271</v>
      </c>
    </row>
    <row r="12" spans="1:9" x14ac:dyDescent="0.2">
      <c r="A12">
        <v>1568</v>
      </c>
      <c r="B12" t="s">
        <v>4609</v>
      </c>
      <c r="C12" t="s">
        <v>4610</v>
      </c>
      <c r="D12" t="s">
        <v>4611</v>
      </c>
      <c r="E12" t="s">
        <v>4612</v>
      </c>
      <c r="F12">
        <v>0.21659999999999999</v>
      </c>
      <c r="G12" t="s">
        <v>3910</v>
      </c>
      <c r="I12" s="26">
        <v>43271</v>
      </c>
    </row>
    <row r="13" spans="1:9" x14ac:dyDescent="0.2">
      <c r="A13">
        <v>1569</v>
      </c>
      <c r="B13" t="s">
        <v>4613</v>
      </c>
      <c r="C13" t="s">
        <v>4654</v>
      </c>
      <c r="D13" t="s">
        <v>508</v>
      </c>
      <c r="E13" t="s">
        <v>4655</v>
      </c>
      <c r="F13">
        <v>94.08</v>
      </c>
      <c r="G13" t="s">
        <v>510</v>
      </c>
      <c r="I13" s="26">
        <v>43276</v>
      </c>
    </row>
    <row r="14" spans="1:9" x14ac:dyDescent="0.2">
      <c r="A14">
        <v>1</v>
      </c>
      <c r="B14" t="s">
        <v>24</v>
      </c>
      <c r="C14" t="s">
        <v>25</v>
      </c>
      <c r="D14" t="s">
        <v>26</v>
      </c>
      <c r="E14" t="s">
        <v>24</v>
      </c>
      <c r="G14" t="s">
        <v>27</v>
      </c>
      <c r="H14" t="s">
        <v>14</v>
      </c>
      <c r="I14" s="26"/>
    </row>
    <row r="15" spans="1:9" x14ac:dyDescent="0.2">
      <c r="A15">
        <v>2</v>
      </c>
      <c r="B15" t="s">
        <v>28</v>
      </c>
      <c r="C15" t="s">
        <v>29</v>
      </c>
      <c r="D15" t="s">
        <v>30</v>
      </c>
      <c r="E15" t="s">
        <v>31</v>
      </c>
      <c r="F15">
        <v>167.3</v>
      </c>
      <c r="G15" t="s">
        <v>32</v>
      </c>
      <c r="H15" t="s">
        <v>14</v>
      </c>
      <c r="I15" s="26"/>
    </row>
    <row r="16" spans="1:9" x14ac:dyDescent="0.2">
      <c r="A16">
        <v>3</v>
      </c>
      <c r="B16" t="s">
        <v>33</v>
      </c>
      <c r="C16" t="s">
        <v>34</v>
      </c>
      <c r="D16" t="s">
        <v>35</v>
      </c>
      <c r="E16" t="s">
        <v>36</v>
      </c>
      <c r="F16">
        <v>2.2000000000000002</v>
      </c>
      <c r="G16" t="s">
        <v>37</v>
      </c>
      <c r="H16" t="s">
        <v>14</v>
      </c>
      <c r="I16" s="26">
        <v>42289</v>
      </c>
    </row>
    <row r="17" spans="1:9" x14ac:dyDescent="0.2">
      <c r="A17">
        <v>4</v>
      </c>
      <c r="B17" t="s">
        <v>38</v>
      </c>
      <c r="C17" t="s">
        <v>39</v>
      </c>
      <c r="D17" t="s">
        <v>40</v>
      </c>
      <c r="E17" t="s">
        <v>41</v>
      </c>
      <c r="F17">
        <v>155.11000000000001</v>
      </c>
      <c r="G17" t="s">
        <v>42</v>
      </c>
      <c r="H17" t="s">
        <v>14</v>
      </c>
      <c r="I17" s="26"/>
    </row>
    <row r="18" spans="1:9" x14ac:dyDescent="0.2">
      <c r="A18">
        <v>5</v>
      </c>
      <c r="B18" t="s">
        <v>43</v>
      </c>
      <c r="C18" t="s">
        <v>44</v>
      </c>
      <c r="D18" t="s">
        <v>30</v>
      </c>
      <c r="E18" t="s">
        <v>45</v>
      </c>
      <c r="F18">
        <v>156.34</v>
      </c>
      <c r="G18" t="s">
        <v>32</v>
      </c>
      <c r="H18" t="s">
        <v>14</v>
      </c>
      <c r="I18" s="26"/>
    </row>
    <row r="19" spans="1:9" x14ac:dyDescent="0.2">
      <c r="A19">
        <v>6</v>
      </c>
      <c r="B19" t="s">
        <v>4468</v>
      </c>
      <c r="C19" t="s">
        <v>4469</v>
      </c>
      <c r="D19" t="s">
        <v>30</v>
      </c>
      <c r="E19" t="s">
        <v>4470</v>
      </c>
      <c r="G19" t="s">
        <v>32</v>
      </c>
      <c r="H19" t="s">
        <v>14</v>
      </c>
      <c r="I19" s="26"/>
    </row>
    <row r="20" spans="1:9" x14ac:dyDescent="0.2">
      <c r="A20">
        <v>7</v>
      </c>
      <c r="B20" t="s">
        <v>46</v>
      </c>
      <c r="C20" t="s">
        <v>47</v>
      </c>
      <c r="D20" t="s">
        <v>30</v>
      </c>
      <c r="E20" t="s">
        <v>48</v>
      </c>
      <c r="F20">
        <v>302.77</v>
      </c>
      <c r="G20" t="s">
        <v>32</v>
      </c>
      <c r="H20" t="s">
        <v>14</v>
      </c>
      <c r="I20" s="26"/>
    </row>
    <row r="21" spans="1:9" x14ac:dyDescent="0.2">
      <c r="A21">
        <v>8</v>
      </c>
      <c r="B21" t="s">
        <v>49</v>
      </c>
      <c r="C21" t="s">
        <v>50</v>
      </c>
      <c r="D21" t="s">
        <v>30</v>
      </c>
      <c r="E21" t="s">
        <v>51</v>
      </c>
      <c r="F21">
        <v>251.64</v>
      </c>
      <c r="G21" t="s">
        <v>32</v>
      </c>
      <c r="H21" t="s">
        <v>14</v>
      </c>
      <c r="I21" s="26"/>
    </row>
    <row r="22" spans="1:9" x14ac:dyDescent="0.2">
      <c r="A22">
        <v>9</v>
      </c>
      <c r="B22" t="s">
        <v>52</v>
      </c>
      <c r="C22" t="s">
        <v>53</v>
      </c>
      <c r="D22" t="s">
        <v>40</v>
      </c>
      <c r="E22" t="s">
        <v>54</v>
      </c>
      <c r="F22">
        <v>156.19</v>
      </c>
      <c r="G22" t="s">
        <v>42</v>
      </c>
      <c r="H22" t="s">
        <v>14</v>
      </c>
      <c r="I22" s="26">
        <v>43165</v>
      </c>
    </row>
    <row r="23" spans="1:9" x14ac:dyDescent="0.2">
      <c r="A23">
        <v>10</v>
      </c>
      <c r="B23" t="s">
        <v>55</v>
      </c>
      <c r="C23" t="s">
        <v>56</v>
      </c>
      <c r="D23" t="s">
        <v>30</v>
      </c>
      <c r="E23" t="s">
        <v>57</v>
      </c>
      <c r="F23">
        <v>330.82</v>
      </c>
      <c r="G23" t="s">
        <v>32</v>
      </c>
      <c r="H23" t="s">
        <v>14</v>
      </c>
      <c r="I23" s="26"/>
    </row>
    <row r="24" spans="1:9" x14ac:dyDescent="0.2">
      <c r="A24">
        <v>11</v>
      </c>
      <c r="B24" t="s">
        <v>58</v>
      </c>
      <c r="C24" t="s">
        <v>59</v>
      </c>
      <c r="D24" t="s">
        <v>60</v>
      </c>
      <c r="E24" t="s">
        <v>61</v>
      </c>
      <c r="F24">
        <v>55.97</v>
      </c>
      <c r="G24" t="s">
        <v>62</v>
      </c>
      <c r="H24" t="s">
        <v>14</v>
      </c>
      <c r="I24" s="26"/>
    </row>
    <row r="25" spans="1:9" x14ac:dyDescent="0.2">
      <c r="A25">
        <v>12</v>
      </c>
      <c r="B25" t="s">
        <v>63</v>
      </c>
      <c r="C25" t="s">
        <v>64</v>
      </c>
      <c r="D25" t="s">
        <v>40</v>
      </c>
      <c r="E25" t="s">
        <v>65</v>
      </c>
      <c r="F25">
        <v>796.58</v>
      </c>
      <c r="G25" t="s">
        <v>42</v>
      </c>
      <c r="H25" t="s">
        <v>14</v>
      </c>
      <c r="I25" s="26"/>
    </row>
    <row r="26" spans="1:9" x14ac:dyDescent="0.2">
      <c r="A26">
        <v>13</v>
      </c>
      <c r="B26" t="s">
        <v>66</v>
      </c>
      <c r="C26" t="s">
        <v>67</v>
      </c>
      <c r="D26" t="s">
        <v>40</v>
      </c>
      <c r="E26" t="s">
        <v>68</v>
      </c>
      <c r="G26" t="s">
        <v>42</v>
      </c>
      <c r="H26" t="s">
        <v>14</v>
      </c>
      <c r="I26" s="26"/>
    </row>
    <row r="27" spans="1:9" x14ac:dyDescent="0.2">
      <c r="A27">
        <v>14</v>
      </c>
      <c r="B27" t="s">
        <v>69</v>
      </c>
      <c r="C27" t="s">
        <v>70</v>
      </c>
      <c r="D27" t="s">
        <v>40</v>
      </c>
      <c r="E27" t="s">
        <v>71</v>
      </c>
      <c r="G27" t="s">
        <v>42</v>
      </c>
      <c r="H27" t="s">
        <v>14</v>
      </c>
      <c r="I27" s="26"/>
    </row>
    <row r="28" spans="1:9" x14ac:dyDescent="0.2">
      <c r="A28">
        <v>15</v>
      </c>
      <c r="B28" t="s">
        <v>72</v>
      </c>
      <c r="C28" t="s">
        <v>73</v>
      </c>
      <c r="D28" t="s">
        <v>40</v>
      </c>
      <c r="E28" t="s">
        <v>74</v>
      </c>
      <c r="G28" t="s">
        <v>42</v>
      </c>
      <c r="H28" t="s">
        <v>14</v>
      </c>
      <c r="I28" s="26"/>
    </row>
    <row r="29" spans="1:9" x14ac:dyDescent="0.2">
      <c r="A29">
        <v>16</v>
      </c>
      <c r="B29" t="s">
        <v>75</v>
      </c>
      <c r="C29" t="s">
        <v>76</v>
      </c>
      <c r="D29" t="s">
        <v>40</v>
      </c>
      <c r="E29" t="s">
        <v>77</v>
      </c>
      <c r="G29" t="s">
        <v>42</v>
      </c>
      <c r="H29" t="s">
        <v>14</v>
      </c>
      <c r="I29" s="26"/>
    </row>
    <row r="30" spans="1:9" x14ac:dyDescent="0.2">
      <c r="A30">
        <v>17</v>
      </c>
      <c r="B30" t="s">
        <v>78</v>
      </c>
      <c r="C30" t="s">
        <v>79</v>
      </c>
      <c r="D30" t="s">
        <v>40</v>
      </c>
      <c r="E30" t="s">
        <v>80</v>
      </c>
      <c r="G30" t="s">
        <v>42</v>
      </c>
      <c r="H30" t="s">
        <v>14</v>
      </c>
      <c r="I30" s="26"/>
    </row>
    <row r="31" spans="1:9" x14ac:dyDescent="0.2">
      <c r="A31">
        <v>18</v>
      </c>
      <c r="B31" t="s">
        <v>81</v>
      </c>
      <c r="C31" t="s">
        <v>82</v>
      </c>
      <c r="D31" t="s">
        <v>40</v>
      </c>
      <c r="E31" t="s">
        <v>83</v>
      </c>
      <c r="G31" t="s">
        <v>42</v>
      </c>
      <c r="H31" t="s">
        <v>14</v>
      </c>
      <c r="I31" s="26"/>
    </row>
    <row r="32" spans="1:9" x14ac:dyDescent="0.2">
      <c r="A32">
        <v>19</v>
      </c>
      <c r="B32" t="s">
        <v>84</v>
      </c>
      <c r="C32" t="s">
        <v>85</v>
      </c>
      <c r="D32" t="s">
        <v>40</v>
      </c>
      <c r="E32" t="s">
        <v>86</v>
      </c>
      <c r="G32" t="s">
        <v>42</v>
      </c>
      <c r="H32" t="s">
        <v>14</v>
      </c>
      <c r="I32" s="26"/>
    </row>
    <row r="33" spans="1:9" x14ac:dyDescent="0.2">
      <c r="A33">
        <v>20</v>
      </c>
      <c r="B33" t="s">
        <v>87</v>
      </c>
      <c r="C33" t="s">
        <v>88</v>
      </c>
      <c r="D33" t="s">
        <v>30</v>
      </c>
      <c r="E33" t="s">
        <v>89</v>
      </c>
      <c r="G33" t="s">
        <v>32</v>
      </c>
      <c r="H33" t="s">
        <v>14</v>
      </c>
      <c r="I33" s="26"/>
    </row>
    <row r="34" spans="1:9" x14ac:dyDescent="0.2">
      <c r="A34">
        <v>21</v>
      </c>
      <c r="B34" t="s">
        <v>90</v>
      </c>
      <c r="C34" t="s">
        <v>85</v>
      </c>
      <c r="D34" t="s">
        <v>40</v>
      </c>
      <c r="E34" t="s">
        <v>91</v>
      </c>
      <c r="G34" t="s">
        <v>42</v>
      </c>
      <c r="H34" t="s">
        <v>14</v>
      </c>
      <c r="I34" s="26"/>
    </row>
    <row r="35" spans="1:9" x14ac:dyDescent="0.2">
      <c r="A35">
        <v>22</v>
      </c>
      <c r="B35" t="s">
        <v>92</v>
      </c>
      <c r="C35" t="s">
        <v>93</v>
      </c>
      <c r="D35" t="s">
        <v>30</v>
      </c>
      <c r="E35" t="s">
        <v>94</v>
      </c>
      <c r="G35" t="s">
        <v>32</v>
      </c>
      <c r="H35" t="s">
        <v>14</v>
      </c>
      <c r="I35" s="26"/>
    </row>
    <row r="36" spans="1:9" x14ac:dyDescent="0.2">
      <c r="A36">
        <v>23</v>
      </c>
      <c r="B36" t="s">
        <v>95</v>
      </c>
      <c r="C36" t="s">
        <v>96</v>
      </c>
      <c r="D36" t="s">
        <v>30</v>
      </c>
      <c r="E36" t="s">
        <v>97</v>
      </c>
      <c r="G36" t="s">
        <v>32</v>
      </c>
      <c r="H36" t="s">
        <v>14</v>
      </c>
      <c r="I36" s="26"/>
    </row>
    <row r="37" spans="1:9" x14ac:dyDescent="0.2">
      <c r="A37">
        <v>24</v>
      </c>
      <c r="B37" t="s">
        <v>98</v>
      </c>
      <c r="C37" t="s">
        <v>99</v>
      </c>
      <c r="D37" t="s">
        <v>40</v>
      </c>
      <c r="E37" t="s">
        <v>100</v>
      </c>
      <c r="G37" t="s">
        <v>42</v>
      </c>
      <c r="H37" t="s">
        <v>14</v>
      </c>
      <c r="I37" s="26"/>
    </row>
    <row r="38" spans="1:9" x14ac:dyDescent="0.2">
      <c r="A38">
        <v>25</v>
      </c>
      <c r="B38" t="s">
        <v>101</v>
      </c>
      <c r="C38" t="s">
        <v>102</v>
      </c>
      <c r="D38" t="s">
        <v>40</v>
      </c>
      <c r="E38" t="s">
        <v>103</v>
      </c>
      <c r="G38" t="s">
        <v>42</v>
      </c>
      <c r="H38" t="s">
        <v>14</v>
      </c>
      <c r="I38" s="26"/>
    </row>
    <row r="39" spans="1:9" x14ac:dyDescent="0.2">
      <c r="A39">
        <v>26</v>
      </c>
      <c r="B39" t="s">
        <v>104</v>
      </c>
      <c r="C39" t="s">
        <v>105</v>
      </c>
      <c r="D39" t="s">
        <v>40</v>
      </c>
      <c r="E39" t="s">
        <v>106</v>
      </c>
      <c r="F39">
        <v>404.05</v>
      </c>
      <c r="G39" t="s">
        <v>42</v>
      </c>
      <c r="H39" t="s">
        <v>14</v>
      </c>
      <c r="I39" s="26"/>
    </row>
    <row r="40" spans="1:9" x14ac:dyDescent="0.2">
      <c r="A40">
        <v>27</v>
      </c>
      <c r="B40" t="s">
        <v>107</v>
      </c>
      <c r="C40" t="s">
        <v>108</v>
      </c>
      <c r="D40" t="s">
        <v>40</v>
      </c>
      <c r="E40" t="s">
        <v>109</v>
      </c>
      <c r="F40">
        <v>392.28</v>
      </c>
      <c r="G40" t="s">
        <v>42</v>
      </c>
      <c r="H40" t="s">
        <v>14</v>
      </c>
      <c r="I40" s="26"/>
    </row>
    <row r="41" spans="1:9" x14ac:dyDescent="0.2">
      <c r="A41">
        <v>28</v>
      </c>
      <c r="B41" t="s">
        <v>110</v>
      </c>
      <c r="C41" t="s">
        <v>111</v>
      </c>
      <c r="D41" t="s">
        <v>30</v>
      </c>
      <c r="E41" t="s">
        <v>112</v>
      </c>
      <c r="F41">
        <v>266.87</v>
      </c>
      <c r="G41" t="s">
        <v>32</v>
      </c>
      <c r="H41" t="s">
        <v>14</v>
      </c>
      <c r="I41" s="26">
        <v>42929</v>
      </c>
    </row>
    <row r="42" spans="1:9" x14ac:dyDescent="0.2">
      <c r="A42">
        <v>29</v>
      </c>
      <c r="B42" t="s">
        <v>113</v>
      </c>
      <c r="C42" t="s">
        <v>114</v>
      </c>
      <c r="D42" t="s">
        <v>30</v>
      </c>
      <c r="E42" t="s">
        <v>115</v>
      </c>
      <c r="F42">
        <v>0</v>
      </c>
      <c r="G42" t="s">
        <v>32</v>
      </c>
      <c r="H42" t="s">
        <v>14</v>
      </c>
      <c r="I42" s="26">
        <v>42929</v>
      </c>
    </row>
    <row r="43" spans="1:9" x14ac:dyDescent="0.2">
      <c r="A43">
        <v>30</v>
      </c>
      <c r="B43" t="s">
        <v>116</v>
      </c>
      <c r="C43" t="s">
        <v>117</v>
      </c>
      <c r="D43" t="s">
        <v>118</v>
      </c>
      <c r="E43" t="s">
        <v>119</v>
      </c>
      <c r="F43">
        <v>379</v>
      </c>
      <c r="G43" t="s">
        <v>120</v>
      </c>
      <c r="H43" t="s">
        <v>14</v>
      </c>
      <c r="I43" s="26"/>
    </row>
    <row r="44" spans="1:9" x14ac:dyDescent="0.2">
      <c r="A44">
        <v>31</v>
      </c>
      <c r="B44" t="s">
        <v>121</v>
      </c>
      <c r="C44" t="s">
        <v>122</v>
      </c>
      <c r="D44" t="s">
        <v>123</v>
      </c>
      <c r="E44" t="s">
        <v>124</v>
      </c>
      <c r="F44">
        <v>32.32</v>
      </c>
      <c r="G44" t="s">
        <v>125</v>
      </c>
      <c r="H44" t="s">
        <v>14</v>
      </c>
      <c r="I44" s="26"/>
    </row>
    <row r="45" spans="1:9" x14ac:dyDescent="0.2">
      <c r="A45">
        <v>32</v>
      </c>
      <c r="B45" t="s">
        <v>126</v>
      </c>
      <c r="C45" t="s">
        <v>127</v>
      </c>
      <c r="D45" t="s">
        <v>123</v>
      </c>
      <c r="E45" t="s">
        <v>128</v>
      </c>
      <c r="F45">
        <v>39.06</v>
      </c>
      <c r="G45" t="s">
        <v>125</v>
      </c>
      <c r="H45" t="s">
        <v>14</v>
      </c>
      <c r="I45" s="26"/>
    </row>
    <row r="46" spans="1:9" x14ac:dyDescent="0.2">
      <c r="A46">
        <v>33</v>
      </c>
      <c r="B46" t="s">
        <v>129</v>
      </c>
      <c r="C46" t="s">
        <v>130</v>
      </c>
      <c r="D46" t="s">
        <v>131</v>
      </c>
      <c r="E46" t="s">
        <v>132</v>
      </c>
      <c r="G46" t="s">
        <v>133</v>
      </c>
      <c r="H46" t="s">
        <v>14</v>
      </c>
      <c r="I46" s="26"/>
    </row>
    <row r="47" spans="1:9" x14ac:dyDescent="0.2">
      <c r="A47">
        <v>34</v>
      </c>
      <c r="B47" t="s">
        <v>134</v>
      </c>
      <c r="C47" t="s">
        <v>135</v>
      </c>
      <c r="D47" t="s">
        <v>123</v>
      </c>
      <c r="E47" t="s">
        <v>136</v>
      </c>
      <c r="F47">
        <v>40.32</v>
      </c>
      <c r="G47" t="s">
        <v>125</v>
      </c>
      <c r="H47" t="s">
        <v>14</v>
      </c>
      <c r="I47" s="26">
        <v>42289</v>
      </c>
    </row>
    <row r="48" spans="1:9" x14ac:dyDescent="0.2">
      <c r="A48">
        <v>35</v>
      </c>
      <c r="B48" t="s">
        <v>137</v>
      </c>
      <c r="C48" t="s">
        <v>138</v>
      </c>
      <c r="D48" t="s">
        <v>40</v>
      </c>
      <c r="E48" t="s">
        <v>139</v>
      </c>
      <c r="G48" t="s">
        <v>42</v>
      </c>
      <c r="H48" t="s">
        <v>14</v>
      </c>
      <c r="I48" s="26"/>
    </row>
    <row r="49" spans="1:9" x14ac:dyDescent="0.2">
      <c r="A49">
        <v>36</v>
      </c>
      <c r="B49" t="s">
        <v>140</v>
      </c>
      <c r="C49" t="s">
        <v>141</v>
      </c>
      <c r="D49" t="s">
        <v>40</v>
      </c>
      <c r="E49" t="s">
        <v>142</v>
      </c>
      <c r="G49" t="s">
        <v>42</v>
      </c>
      <c r="H49" t="s">
        <v>14</v>
      </c>
      <c r="I49" s="26"/>
    </row>
    <row r="50" spans="1:9" x14ac:dyDescent="0.2">
      <c r="A50">
        <v>37</v>
      </c>
      <c r="B50" t="s">
        <v>143</v>
      </c>
      <c r="C50" t="s">
        <v>144</v>
      </c>
      <c r="D50" t="s">
        <v>40</v>
      </c>
      <c r="E50" t="s">
        <v>145</v>
      </c>
      <c r="F50">
        <v>934.42</v>
      </c>
      <c r="G50" t="s">
        <v>42</v>
      </c>
      <c r="H50" t="s">
        <v>14</v>
      </c>
      <c r="I50" s="26"/>
    </row>
    <row r="51" spans="1:9" x14ac:dyDescent="0.2">
      <c r="A51">
        <v>38</v>
      </c>
      <c r="B51" t="s">
        <v>146</v>
      </c>
      <c r="C51" t="s">
        <v>147</v>
      </c>
      <c r="D51" t="s">
        <v>40</v>
      </c>
      <c r="E51" t="s">
        <v>148</v>
      </c>
      <c r="G51" t="s">
        <v>42</v>
      </c>
      <c r="H51" t="s">
        <v>14</v>
      </c>
      <c r="I51" s="26"/>
    </row>
    <row r="52" spans="1:9" x14ac:dyDescent="0.2">
      <c r="A52">
        <v>39</v>
      </c>
      <c r="B52" t="s">
        <v>149</v>
      </c>
      <c r="C52" t="s">
        <v>150</v>
      </c>
      <c r="D52" t="s">
        <v>123</v>
      </c>
      <c r="E52" t="s">
        <v>151</v>
      </c>
      <c r="F52">
        <v>43.26</v>
      </c>
      <c r="G52" t="s">
        <v>125</v>
      </c>
      <c r="H52" t="s">
        <v>14</v>
      </c>
      <c r="I52" s="26">
        <v>42290</v>
      </c>
    </row>
    <row r="53" spans="1:9" x14ac:dyDescent="0.2">
      <c r="A53">
        <v>40</v>
      </c>
      <c r="B53" t="s">
        <v>152</v>
      </c>
      <c r="C53" t="s">
        <v>153</v>
      </c>
      <c r="D53" t="s">
        <v>123</v>
      </c>
      <c r="E53" t="s">
        <v>154</v>
      </c>
      <c r="F53">
        <v>52.08</v>
      </c>
      <c r="G53" t="s">
        <v>125</v>
      </c>
      <c r="H53" t="s">
        <v>14</v>
      </c>
      <c r="I53" s="26">
        <v>42290</v>
      </c>
    </row>
    <row r="54" spans="1:9" x14ac:dyDescent="0.2">
      <c r="A54">
        <v>41</v>
      </c>
      <c r="B54" t="s">
        <v>155</v>
      </c>
      <c r="C54" t="s">
        <v>156</v>
      </c>
      <c r="D54" t="s">
        <v>40</v>
      </c>
      <c r="E54" t="s">
        <v>157</v>
      </c>
      <c r="G54" t="s">
        <v>42</v>
      </c>
      <c r="H54" t="s">
        <v>14</v>
      </c>
      <c r="I54" s="26"/>
    </row>
    <row r="55" spans="1:9" x14ac:dyDescent="0.2">
      <c r="A55">
        <v>42</v>
      </c>
      <c r="B55" t="s">
        <v>158</v>
      </c>
      <c r="C55" t="s">
        <v>159</v>
      </c>
      <c r="D55" t="s">
        <v>40</v>
      </c>
      <c r="E55" t="s">
        <v>160</v>
      </c>
      <c r="F55">
        <v>443.35</v>
      </c>
      <c r="G55" t="s">
        <v>42</v>
      </c>
      <c r="H55" t="s">
        <v>14</v>
      </c>
      <c r="I55" s="26"/>
    </row>
    <row r="56" spans="1:9" x14ac:dyDescent="0.2">
      <c r="A56">
        <v>43</v>
      </c>
      <c r="B56" t="s">
        <v>161</v>
      </c>
      <c r="C56" t="s">
        <v>162</v>
      </c>
      <c r="D56" t="s">
        <v>40</v>
      </c>
      <c r="E56" t="s">
        <v>163</v>
      </c>
      <c r="F56">
        <v>540.48</v>
      </c>
      <c r="G56" t="s">
        <v>42</v>
      </c>
      <c r="H56" t="s">
        <v>14</v>
      </c>
      <c r="I56" s="26">
        <v>43077</v>
      </c>
    </row>
    <row r="57" spans="1:9" x14ac:dyDescent="0.2">
      <c r="A57">
        <v>44</v>
      </c>
      <c r="B57" t="s">
        <v>164</v>
      </c>
      <c r="C57" t="s">
        <v>165</v>
      </c>
      <c r="D57" t="s">
        <v>40</v>
      </c>
      <c r="E57" t="s">
        <v>166</v>
      </c>
      <c r="G57" t="s">
        <v>42</v>
      </c>
      <c r="H57" t="s">
        <v>14</v>
      </c>
      <c r="I57" s="26"/>
    </row>
    <row r="58" spans="1:9" x14ac:dyDescent="0.2">
      <c r="A58">
        <v>45</v>
      </c>
      <c r="B58" t="s">
        <v>167</v>
      </c>
      <c r="C58" t="s">
        <v>168</v>
      </c>
      <c r="D58" t="s">
        <v>40</v>
      </c>
      <c r="E58" t="s">
        <v>169</v>
      </c>
      <c r="G58" t="s">
        <v>42</v>
      </c>
      <c r="H58" t="s">
        <v>14</v>
      </c>
      <c r="I58" s="26"/>
    </row>
    <row r="59" spans="1:9" x14ac:dyDescent="0.2">
      <c r="A59">
        <v>46</v>
      </c>
      <c r="B59" t="s">
        <v>170</v>
      </c>
      <c r="C59" t="s">
        <v>171</v>
      </c>
      <c r="D59" t="s">
        <v>40</v>
      </c>
      <c r="E59" t="s">
        <v>172</v>
      </c>
      <c r="F59">
        <v>544.59</v>
      </c>
      <c r="G59" t="s">
        <v>42</v>
      </c>
      <c r="H59" t="s">
        <v>14</v>
      </c>
      <c r="I59" s="26"/>
    </row>
    <row r="60" spans="1:9" x14ac:dyDescent="0.2">
      <c r="A60">
        <v>47</v>
      </c>
      <c r="B60" t="s">
        <v>173</v>
      </c>
      <c r="C60" t="s">
        <v>174</v>
      </c>
      <c r="D60" t="s">
        <v>40</v>
      </c>
      <c r="E60" t="s">
        <v>175</v>
      </c>
      <c r="F60">
        <v>543.63</v>
      </c>
      <c r="G60" t="s">
        <v>42</v>
      </c>
      <c r="H60" t="s">
        <v>14</v>
      </c>
      <c r="I60" s="26"/>
    </row>
    <row r="61" spans="1:9" x14ac:dyDescent="0.2">
      <c r="A61">
        <v>48</v>
      </c>
      <c r="B61" t="s">
        <v>176</v>
      </c>
      <c r="C61" t="s">
        <v>177</v>
      </c>
      <c r="D61" t="s">
        <v>40</v>
      </c>
      <c r="E61" t="s">
        <v>178</v>
      </c>
      <c r="F61">
        <v>2008.98</v>
      </c>
      <c r="G61" t="s">
        <v>42</v>
      </c>
      <c r="H61" t="s">
        <v>14</v>
      </c>
      <c r="I61" s="26"/>
    </row>
    <row r="62" spans="1:9" x14ac:dyDescent="0.2">
      <c r="A62">
        <v>49</v>
      </c>
      <c r="B62" t="s">
        <v>179</v>
      </c>
      <c r="C62" t="s">
        <v>180</v>
      </c>
      <c r="D62" t="s">
        <v>40</v>
      </c>
      <c r="E62" t="s">
        <v>181</v>
      </c>
      <c r="G62" t="s">
        <v>42</v>
      </c>
      <c r="H62" t="s">
        <v>14</v>
      </c>
      <c r="I62" s="26"/>
    </row>
    <row r="63" spans="1:9" x14ac:dyDescent="0.2">
      <c r="A63">
        <v>50</v>
      </c>
      <c r="B63" t="s">
        <v>182</v>
      </c>
      <c r="C63" t="s">
        <v>183</v>
      </c>
      <c r="D63" t="s">
        <v>40</v>
      </c>
      <c r="E63" t="s">
        <v>184</v>
      </c>
      <c r="G63" t="s">
        <v>42</v>
      </c>
      <c r="H63" t="s">
        <v>14</v>
      </c>
      <c r="I63" s="26"/>
    </row>
    <row r="64" spans="1:9" x14ac:dyDescent="0.2">
      <c r="A64">
        <v>51</v>
      </c>
      <c r="B64" t="s">
        <v>185</v>
      </c>
      <c r="C64" t="s">
        <v>186</v>
      </c>
      <c r="D64" t="s">
        <v>40</v>
      </c>
      <c r="E64" t="s">
        <v>187</v>
      </c>
      <c r="G64" t="s">
        <v>42</v>
      </c>
      <c r="H64" t="s">
        <v>14</v>
      </c>
      <c r="I64" s="26"/>
    </row>
    <row r="65" spans="1:9" x14ac:dyDescent="0.2">
      <c r="A65">
        <v>52</v>
      </c>
      <c r="B65" t="s">
        <v>188</v>
      </c>
      <c r="C65" t="s">
        <v>189</v>
      </c>
      <c r="D65" t="s">
        <v>40</v>
      </c>
      <c r="E65" t="s">
        <v>190</v>
      </c>
      <c r="F65">
        <v>884.85</v>
      </c>
      <c r="G65" t="s">
        <v>42</v>
      </c>
      <c r="H65" t="s">
        <v>14</v>
      </c>
      <c r="I65" s="26"/>
    </row>
    <row r="66" spans="1:9" x14ac:dyDescent="0.2">
      <c r="A66">
        <v>53</v>
      </c>
      <c r="B66" t="s">
        <v>191</v>
      </c>
      <c r="C66" t="s">
        <v>192</v>
      </c>
      <c r="D66" t="s">
        <v>40</v>
      </c>
      <c r="E66" t="s">
        <v>193</v>
      </c>
      <c r="F66">
        <v>919.05</v>
      </c>
      <c r="G66" t="s">
        <v>42</v>
      </c>
      <c r="H66" t="s">
        <v>14</v>
      </c>
      <c r="I66" s="26">
        <v>42321</v>
      </c>
    </row>
    <row r="67" spans="1:9" x14ac:dyDescent="0.2">
      <c r="A67">
        <v>54</v>
      </c>
      <c r="B67" t="s">
        <v>194</v>
      </c>
      <c r="C67" t="s">
        <v>195</v>
      </c>
      <c r="D67" t="s">
        <v>40</v>
      </c>
      <c r="E67" t="s">
        <v>196</v>
      </c>
      <c r="F67">
        <v>1012.13</v>
      </c>
      <c r="G67" t="s">
        <v>42</v>
      </c>
      <c r="H67" t="s">
        <v>14</v>
      </c>
      <c r="I67" s="26">
        <v>42321</v>
      </c>
    </row>
    <row r="68" spans="1:9" x14ac:dyDescent="0.2">
      <c r="A68">
        <v>55</v>
      </c>
      <c r="B68" t="s">
        <v>197</v>
      </c>
      <c r="C68" t="s">
        <v>198</v>
      </c>
      <c r="D68" t="s">
        <v>40</v>
      </c>
      <c r="E68" t="s">
        <v>199</v>
      </c>
      <c r="F68">
        <v>971.86</v>
      </c>
      <c r="G68" t="s">
        <v>42</v>
      </c>
      <c r="H68" t="s">
        <v>14</v>
      </c>
      <c r="I68" s="26"/>
    </row>
    <row r="69" spans="1:9" x14ac:dyDescent="0.2">
      <c r="A69">
        <v>56</v>
      </c>
      <c r="B69" t="s">
        <v>200</v>
      </c>
      <c r="C69" t="s">
        <v>201</v>
      </c>
      <c r="D69" t="s">
        <v>40</v>
      </c>
      <c r="E69" t="s">
        <v>202</v>
      </c>
      <c r="F69">
        <v>935.17</v>
      </c>
      <c r="G69" t="s">
        <v>42</v>
      </c>
      <c r="H69" t="s">
        <v>14</v>
      </c>
      <c r="I69" s="26"/>
    </row>
    <row r="70" spans="1:9" x14ac:dyDescent="0.2">
      <c r="A70">
        <v>57</v>
      </c>
      <c r="B70" t="s">
        <v>203</v>
      </c>
      <c r="C70" t="s">
        <v>204</v>
      </c>
      <c r="D70" t="s">
        <v>40</v>
      </c>
      <c r="E70" t="s">
        <v>205</v>
      </c>
      <c r="G70" t="s">
        <v>42</v>
      </c>
      <c r="H70" t="s">
        <v>14</v>
      </c>
      <c r="I70" s="26"/>
    </row>
    <row r="71" spans="1:9" x14ac:dyDescent="0.2">
      <c r="A71">
        <v>58</v>
      </c>
      <c r="B71" t="s">
        <v>206</v>
      </c>
      <c r="C71" t="s">
        <v>207</v>
      </c>
      <c r="D71" t="s">
        <v>40</v>
      </c>
      <c r="E71" t="s">
        <v>208</v>
      </c>
      <c r="F71">
        <v>1038.04</v>
      </c>
      <c r="G71" t="s">
        <v>42</v>
      </c>
      <c r="H71" t="s">
        <v>14</v>
      </c>
      <c r="I71" s="26">
        <v>42929</v>
      </c>
    </row>
    <row r="72" spans="1:9" x14ac:dyDescent="0.2">
      <c r="A72">
        <v>59</v>
      </c>
      <c r="B72" t="s">
        <v>209</v>
      </c>
      <c r="C72" t="s">
        <v>210</v>
      </c>
      <c r="D72" t="s">
        <v>40</v>
      </c>
      <c r="E72" t="s">
        <v>211</v>
      </c>
      <c r="G72" t="s">
        <v>42</v>
      </c>
      <c r="H72" t="s">
        <v>14</v>
      </c>
      <c r="I72" s="26"/>
    </row>
    <row r="73" spans="1:9" x14ac:dyDescent="0.2">
      <c r="A73">
        <v>60</v>
      </c>
      <c r="B73" t="s">
        <v>212</v>
      </c>
      <c r="C73" t="s">
        <v>213</v>
      </c>
      <c r="D73" t="s">
        <v>40</v>
      </c>
      <c r="E73" t="s">
        <v>214</v>
      </c>
      <c r="F73">
        <v>1114.58</v>
      </c>
      <c r="G73" t="s">
        <v>42</v>
      </c>
      <c r="H73" t="s">
        <v>14</v>
      </c>
      <c r="I73" s="26">
        <v>42339</v>
      </c>
    </row>
    <row r="74" spans="1:9" x14ac:dyDescent="0.2">
      <c r="A74">
        <v>61</v>
      </c>
      <c r="B74" t="s">
        <v>215</v>
      </c>
      <c r="C74" t="s">
        <v>216</v>
      </c>
      <c r="D74" t="s">
        <v>40</v>
      </c>
      <c r="E74" t="s">
        <v>217</v>
      </c>
      <c r="F74">
        <v>1114.58</v>
      </c>
      <c r="G74" t="s">
        <v>42</v>
      </c>
      <c r="H74" t="s">
        <v>14</v>
      </c>
      <c r="I74" s="26">
        <v>42339</v>
      </c>
    </row>
    <row r="75" spans="1:9" x14ac:dyDescent="0.2">
      <c r="A75">
        <v>62</v>
      </c>
      <c r="B75" t="s">
        <v>4572</v>
      </c>
      <c r="C75" t="s">
        <v>4573</v>
      </c>
      <c r="D75" t="s">
        <v>40</v>
      </c>
      <c r="E75" t="s">
        <v>1523</v>
      </c>
      <c r="F75">
        <v>0</v>
      </c>
      <c r="G75" t="s">
        <v>42</v>
      </c>
      <c r="H75" t="s">
        <v>14</v>
      </c>
      <c r="I75" s="26">
        <v>43259</v>
      </c>
    </row>
    <row r="76" spans="1:9" x14ac:dyDescent="0.2">
      <c r="A76">
        <v>63</v>
      </c>
      <c r="B76" t="s">
        <v>219</v>
      </c>
      <c r="C76" t="s">
        <v>220</v>
      </c>
      <c r="D76" t="s">
        <v>40</v>
      </c>
      <c r="E76" t="s">
        <v>221</v>
      </c>
      <c r="F76">
        <v>1168.3800000000001</v>
      </c>
      <c r="G76" t="s">
        <v>42</v>
      </c>
      <c r="H76" t="s">
        <v>14</v>
      </c>
      <c r="I76" s="26">
        <v>42422</v>
      </c>
    </row>
    <row r="77" spans="1:9" x14ac:dyDescent="0.2">
      <c r="A77">
        <v>64</v>
      </c>
      <c r="B77" t="s">
        <v>222</v>
      </c>
      <c r="C77" t="s">
        <v>223</v>
      </c>
      <c r="D77" t="s">
        <v>40</v>
      </c>
      <c r="E77" t="s">
        <v>224</v>
      </c>
      <c r="G77" t="s">
        <v>42</v>
      </c>
      <c r="H77" t="s">
        <v>14</v>
      </c>
      <c r="I77" s="26"/>
    </row>
    <row r="78" spans="1:9" x14ac:dyDescent="0.2">
      <c r="A78">
        <v>65</v>
      </c>
      <c r="B78" t="s">
        <v>225</v>
      </c>
      <c r="C78" t="s">
        <v>226</v>
      </c>
      <c r="D78" t="s">
        <v>40</v>
      </c>
      <c r="E78" t="s">
        <v>227</v>
      </c>
      <c r="G78" t="s">
        <v>42</v>
      </c>
      <c r="H78" t="s">
        <v>14</v>
      </c>
      <c r="I78" s="26"/>
    </row>
    <row r="79" spans="1:9" x14ac:dyDescent="0.2">
      <c r="A79">
        <v>66</v>
      </c>
      <c r="B79" t="s">
        <v>228</v>
      </c>
      <c r="C79" t="s">
        <v>229</v>
      </c>
      <c r="D79" t="s">
        <v>30</v>
      </c>
      <c r="E79" t="s">
        <v>228</v>
      </c>
      <c r="F79">
        <v>118.06</v>
      </c>
      <c r="G79" t="s">
        <v>32</v>
      </c>
      <c r="H79" t="s">
        <v>14</v>
      </c>
      <c r="I79" s="26">
        <v>43164</v>
      </c>
    </row>
    <row r="80" spans="1:9" x14ac:dyDescent="0.2">
      <c r="A80">
        <v>67</v>
      </c>
      <c r="B80" t="s">
        <v>4532</v>
      </c>
      <c r="C80" t="s">
        <v>4533</v>
      </c>
      <c r="D80" t="s">
        <v>30</v>
      </c>
      <c r="E80" t="s">
        <v>4532</v>
      </c>
      <c r="F80">
        <v>161.43</v>
      </c>
      <c r="G80" t="s">
        <v>32</v>
      </c>
      <c r="H80" t="s">
        <v>14</v>
      </c>
      <c r="I80" s="26">
        <v>43236</v>
      </c>
    </row>
    <row r="81" spans="1:9" x14ac:dyDescent="0.2">
      <c r="A81">
        <v>68</v>
      </c>
      <c r="B81" t="s">
        <v>230</v>
      </c>
      <c r="C81" t="s">
        <v>231</v>
      </c>
      <c r="D81" t="s">
        <v>232</v>
      </c>
      <c r="E81" t="s">
        <v>233</v>
      </c>
      <c r="G81" t="s">
        <v>234</v>
      </c>
      <c r="H81" t="s">
        <v>14</v>
      </c>
      <c r="I81" s="26"/>
    </row>
    <row r="82" spans="1:9" x14ac:dyDescent="0.2">
      <c r="A82">
        <v>69</v>
      </c>
      <c r="B82" t="s">
        <v>4524</v>
      </c>
      <c r="C82" t="s">
        <v>4525</v>
      </c>
      <c r="D82" t="s">
        <v>40</v>
      </c>
      <c r="E82" t="s">
        <v>4526</v>
      </c>
      <c r="F82">
        <v>488.75</v>
      </c>
      <c r="G82" t="s">
        <v>42</v>
      </c>
      <c r="H82" t="s">
        <v>14</v>
      </c>
      <c r="I82" s="26">
        <v>43236</v>
      </c>
    </row>
    <row r="83" spans="1:9" x14ac:dyDescent="0.2">
      <c r="A83">
        <v>70</v>
      </c>
      <c r="B83" t="s">
        <v>235</v>
      </c>
      <c r="C83" t="s">
        <v>236</v>
      </c>
      <c r="D83" t="s">
        <v>30</v>
      </c>
      <c r="E83" t="s">
        <v>237</v>
      </c>
      <c r="F83">
        <v>103.02</v>
      </c>
      <c r="G83" t="s">
        <v>32</v>
      </c>
      <c r="H83" t="s">
        <v>14</v>
      </c>
      <c r="I83" s="26"/>
    </row>
    <row r="84" spans="1:9" x14ac:dyDescent="0.2">
      <c r="A84">
        <v>71</v>
      </c>
      <c r="B84" t="s">
        <v>238</v>
      </c>
      <c r="C84" t="s">
        <v>239</v>
      </c>
      <c r="D84" t="s">
        <v>118</v>
      </c>
      <c r="E84" t="s">
        <v>238</v>
      </c>
      <c r="F84">
        <v>307</v>
      </c>
      <c r="G84" t="s">
        <v>120</v>
      </c>
      <c r="H84" t="s">
        <v>14</v>
      </c>
      <c r="I84" s="26"/>
    </row>
    <row r="85" spans="1:9" x14ac:dyDescent="0.2">
      <c r="A85">
        <v>72</v>
      </c>
      <c r="B85" t="s">
        <v>240</v>
      </c>
      <c r="C85" t="s">
        <v>241</v>
      </c>
      <c r="D85" t="s">
        <v>30</v>
      </c>
      <c r="E85" t="s">
        <v>242</v>
      </c>
      <c r="G85" t="s">
        <v>32</v>
      </c>
      <c r="H85" t="s">
        <v>14</v>
      </c>
      <c r="I85" s="26"/>
    </row>
    <row r="86" spans="1:9" x14ac:dyDescent="0.2">
      <c r="A86">
        <v>73</v>
      </c>
      <c r="B86" t="s">
        <v>243</v>
      </c>
      <c r="C86" t="s">
        <v>244</v>
      </c>
      <c r="D86" t="s">
        <v>30</v>
      </c>
      <c r="E86" t="s">
        <v>245</v>
      </c>
      <c r="F86">
        <v>410.6</v>
      </c>
      <c r="G86" t="s">
        <v>32</v>
      </c>
      <c r="H86" t="s">
        <v>14</v>
      </c>
      <c r="I86" s="26">
        <v>42929</v>
      </c>
    </row>
    <row r="87" spans="1:9" x14ac:dyDescent="0.2">
      <c r="A87">
        <v>74</v>
      </c>
      <c r="B87" t="s">
        <v>246</v>
      </c>
      <c r="C87" t="s">
        <v>247</v>
      </c>
      <c r="D87" t="s">
        <v>30</v>
      </c>
      <c r="E87" t="s">
        <v>248</v>
      </c>
      <c r="F87">
        <v>0</v>
      </c>
      <c r="G87" t="s">
        <v>32</v>
      </c>
      <c r="H87" t="s">
        <v>14</v>
      </c>
      <c r="I87" s="26">
        <v>42929</v>
      </c>
    </row>
    <row r="88" spans="1:9" x14ac:dyDescent="0.2">
      <c r="A88">
        <v>75</v>
      </c>
      <c r="B88" t="s">
        <v>249</v>
      </c>
      <c r="C88" t="s">
        <v>250</v>
      </c>
      <c r="D88" t="s">
        <v>30</v>
      </c>
      <c r="E88" t="s">
        <v>251</v>
      </c>
      <c r="F88">
        <v>471.09</v>
      </c>
      <c r="G88" t="s">
        <v>32</v>
      </c>
      <c r="H88" t="s">
        <v>14</v>
      </c>
      <c r="I88" s="26"/>
    </row>
    <row r="89" spans="1:9" x14ac:dyDescent="0.2">
      <c r="A89">
        <v>76</v>
      </c>
      <c r="B89" t="s">
        <v>252</v>
      </c>
      <c r="C89" t="s">
        <v>253</v>
      </c>
      <c r="D89" t="s">
        <v>30</v>
      </c>
      <c r="E89" t="s">
        <v>254</v>
      </c>
      <c r="F89">
        <v>0</v>
      </c>
      <c r="G89" t="s">
        <v>32</v>
      </c>
      <c r="H89" t="s">
        <v>14</v>
      </c>
      <c r="I89" s="26"/>
    </row>
    <row r="90" spans="1:9" x14ac:dyDescent="0.2">
      <c r="A90">
        <v>77</v>
      </c>
      <c r="B90" t="s">
        <v>255</v>
      </c>
      <c r="C90" t="s">
        <v>256</v>
      </c>
      <c r="D90" t="s">
        <v>40</v>
      </c>
      <c r="E90" t="s">
        <v>257</v>
      </c>
      <c r="G90" t="s">
        <v>42</v>
      </c>
      <c r="H90" t="s">
        <v>14</v>
      </c>
      <c r="I90" s="26"/>
    </row>
    <row r="91" spans="1:9" x14ac:dyDescent="0.2">
      <c r="A91">
        <v>78</v>
      </c>
      <c r="B91" t="s">
        <v>258</v>
      </c>
      <c r="C91" t="s">
        <v>259</v>
      </c>
      <c r="D91" t="s">
        <v>40</v>
      </c>
      <c r="E91" t="s">
        <v>260</v>
      </c>
      <c r="G91" t="s">
        <v>42</v>
      </c>
      <c r="H91" t="s">
        <v>14</v>
      </c>
      <c r="I91" s="26"/>
    </row>
    <row r="92" spans="1:9" x14ac:dyDescent="0.2">
      <c r="A92">
        <v>79</v>
      </c>
      <c r="B92" t="s">
        <v>261</v>
      </c>
      <c r="C92" t="s">
        <v>262</v>
      </c>
      <c r="D92" t="s">
        <v>40</v>
      </c>
      <c r="E92" t="s">
        <v>263</v>
      </c>
      <c r="F92">
        <v>826.76</v>
      </c>
      <c r="G92" t="s">
        <v>42</v>
      </c>
      <c r="H92" t="s">
        <v>14</v>
      </c>
      <c r="I92" s="26">
        <v>42289</v>
      </c>
    </row>
    <row r="93" spans="1:9" x14ac:dyDescent="0.2">
      <c r="A93">
        <v>80</v>
      </c>
      <c r="B93" t="s">
        <v>264</v>
      </c>
      <c r="C93" t="s">
        <v>265</v>
      </c>
      <c r="D93" t="s">
        <v>40</v>
      </c>
      <c r="E93" t="s">
        <v>266</v>
      </c>
      <c r="F93">
        <v>0</v>
      </c>
      <c r="G93" t="s">
        <v>42</v>
      </c>
      <c r="H93" t="s">
        <v>14</v>
      </c>
      <c r="I93" s="26">
        <v>42289</v>
      </c>
    </row>
    <row r="94" spans="1:9" x14ac:dyDescent="0.2">
      <c r="A94">
        <v>81</v>
      </c>
      <c r="B94" t="s">
        <v>267</v>
      </c>
      <c r="C94" t="s">
        <v>268</v>
      </c>
      <c r="D94" t="s">
        <v>40</v>
      </c>
      <c r="E94" t="s">
        <v>269</v>
      </c>
      <c r="F94">
        <v>0</v>
      </c>
      <c r="G94" t="s">
        <v>42</v>
      </c>
      <c r="H94" t="s">
        <v>14</v>
      </c>
      <c r="I94" s="26">
        <v>42289</v>
      </c>
    </row>
    <row r="95" spans="1:9" x14ac:dyDescent="0.2">
      <c r="A95">
        <v>82</v>
      </c>
      <c r="B95" t="s">
        <v>270</v>
      </c>
      <c r="C95" t="s">
        <v>271</v>
      </c>
      <c r="D95" t="s">
        <v>40</v>
      </c>
      <c r="E95" t="s">
        <v>269</v>
      </c>
      <c r="F95">
        <v>0</v>
      </c>
      <c r="G95" t="s">
        <v>42</v>
      </c>
      <c r="H95" t="s">
        <v>14</v>
      </c>
      <c r="I95" s="26">
        <v>42289</v>
      </c>
    </row>
    <row r="96" spans="1:9" x14ac:dyDescent="0.2">
      <c r="A96">
        <v>83</v>
      </c>
      <c r="B96" t="s">
        <v>272</v>
      </c>
      <c r="C96" t="s">
        <v>273</v>
      </c>
      <c r="D96" t="s">
        <v>40</v>
      </c>
      <c r="E96" t="s">
        <v>269</v>
      </c>
      <c r="F96">
        <v>0</v>
      </c>
      <c r="G96" t="s">
        <v>42</v>
      </c>
      <c r="H96" t="s">
        <v>14</v>
      </c>
      <c r="I96" s="26">
        <v>42289</v>
      </c>
    </row>
    <row r="97" spans="1:9" x14ac:dyDescent="0.2">
      <c r="A97">
        <v>84</v>
      </c>
      <c r="B97" t="s">
        <v>274</v>
      </c>
      <c r="C97" t="s">
        <v>275</v>
      </c>
      <c r="D97" t="s">
        <v>40</v>
      </c>
      <c r="E97" t="s">
        <v>269</v>
      </c>
      <c r="F97">
        <v>0</v>
      </c>
      <c r="G97" t="s">
        <v>42</v>
      </c>
      <c r="H97" t="s">
        <v>14</v>
      </c>
      <c r="I97" s="26">
        <v>42289</v>
      </c>
    </row>
    <row r="98" spans="1:9" x14ac:dyDescent="0.2">
      <c r="A98">
        <v>85</v>
      </c>
      <c r="B98" t="s">
        <v>276</v>
      </c>
      <c r="C98" t="s">
        <v>277</v>
      </c>
      <c r="D98" t="s">
        <v>40</v>
      </c>
      <c r="E98" t="s">
        <v>269</v>
      </c>
      <c r="F98">
        <v>0</v>
      </c>
      <c r="G98" t="s">
        <v>42</v>
      </c>
      <c r="H98" t="s">
        <v>14</v>
      </c>
      <c r="I98" s="26">
        <v>42289</v>
      </c>
    </row>
    <row r="99" spans="1:9" x14ac:dyDescent="0.2">
      <c r="A99">
        <v>86</v>
      </c>
      <c r="B99" t="s">
        <v>278</v>
      </c>
      <c r="C99" t="s">
        <v>279</v>
      </c>
      <c r="D99" t="s">
        <v>40</v>
      </c>
      <c r="E99" t="s">
        <v>280</v>
      </c>
      <c r="G99" t="s">
        <v>42</v>
      </c>
      <c r="H99" t="s">
        <v>14</v>
      </c>
      <c r="I99" s="26"/>
    </row>
    <row r="100" spans="1:9" x14ac:dyDescent="0.2">
      <c r="A100">
        <v>87</v>
      </c>
      <c r="B100" t="s">
        <v>281</v>
      </c>
      <c r="C100" t="s">
        <v>282</v>
      </c>
      <c r="D100" t="s">
        <v>40</v>
      </c>
      <c r="E100" t="s">
        <v>283</v>
      </c>
      <c r="F100">
        <v>1832.69</v>
      </c>
      <c r="G100" t="s">
        <v>42</v>
      </c>
      <c r="H100" t="s">
        <v>14</v>
      </c>
      <c r="I100" s="26"/>
    </row>
    <row r="101" spans="1:9" x14ac:dyDescent="0.2">
      <c r="A101">
        <v>88</v>
      </c>
      <c r="B101" t="s">
        <v>284</v>
      </c>
      <c r="C101" t="s">
        <v>285</v>
      </c>
      <c r="D101" t="s">
        <v>40</v>
      </c>
      <c r="E101" t="s">
        <v>286</v>
      </c>
      <c r="F101">
        <v>0</v>
      </c>
      <c r="G101" t="s">
        <v>42</v>
      </c>
      <c r="H101" t="s">
        <v>14</v>
      </c>
      <c r="I101" s="26"/>
    </row>
    <row r="102" spans="1:9" x14ac:dyDescent="0.2">
      <c r="A102">
        <v>89</v>
      </c>
      <c r="B102" t="s">
        <v>287</v>
      </c>
      <c r="C102" t="s">
        <v>288</v>
      </c>
      <c r="D102" t="s">
        <v>40</v>
      </c>
      <c r="E102" t="s">
        <v>289</v>
      </c>
      <c r="F102">
        <v>0</v>
      </c>
      <c r="G102" t="s">
        <v>42</v>
      </c>
      <c r="H102" t="s">
        <v>14</v>
      </c>
      <c r="I102" s="26"/>
    </row>
    <row r="103" spans="1:9" x14ac:dyDescent="0.2">
      <c r="A103">
        <v>90</v>
      </c>
      <c r="B103" t="s">
        <v>290</v>
      </c>
      <c r="C103" t="s">
        <v>291</v>
      </c>
      <c r="D103" t="s">
        <v>40</v>
      </c>
      <c r="E103" t="s">
        <v>292</v>
      </c>
      <c r="F103">
        <v>0</v>
      </c>
      <c r="G103" t="s">
        <v>42</v>
      </c>
      <c r="H103" t="s">
        <v>14</v>
      </c>
      <c r="I103" s="26"/>
    </row>
    <row r="104" spans="1:9" x14ac:dyDescent="0.2">
      <c r="A104">
        <v>91</v>
      </c>
      <c r="B104" t="s">
        <v>293</v>
      </c>
      <c r="C104" t="s">
        <v>294</v>
      </c>
      <c r="D104" t="s">
        <v>40</v>
      </c>
      <c r="E104" t="s">
        <v>295</v>
      </c>
      <c r="G104" t="s">
        <v>42</v>
      </c>
      <c r="H104" t="s">
        <v>14</v>
      </c>
      <c r="I104" s="26"/>
    </row>
    <row r="105" spans="1:9" x14ac:dyDescent="0.2">
      <c r="A105">
        <v>92</v>
      </c>
      <c r="B105" t="s">
        <v>296</v>
      </c>
      <c r="C105" t="s">
        <v>297</v>
      </c>
      <c r="D105" t="s">
        <v>40</v>
      </c>
      <c r="E105" t="s">
        <v>298</v>
      </c>
      <c r="F105">
        <v>396.61</v>
      </c>
      <c r="G105" t="s">
        <v>42</v>
      </c>
      <c r="H105" t="s">
        <v>14</v>
      </c>
      <c r="I105" s="26">
        <v>43165</v>
      </c>
    </row>
    <row r="106" spans="1:9" x14ac:dyDescent="0.2">
      <c r="A106">
        <v>93</v>
      </c>
      <c r="B106" t="s">
        <v>299</v>
      </c>
      <c r="C106" t="s">
        <v>300</v>
      </c>
      <c r="D106" t="s">
        <v>40</v>
      </c>
      <c r="E106" t="s">
        <v>301</v>
      </c>
      <c r="F106">
        <v>1500.38</v>
      </c>
      <c r="G106" t="s">
        <v>42</v>
      </c>
      <c r="H106" t="s">
        <v>14</v>
      </c>
      <c r="I106" s="26">
        <v>42817</v>
      </c>
    </row>
    <row r="107" spans="1:9" x14ac:dyDescent="0.2">
      <c r="A107">
        <v>94</v>
      </c>
      <c r="B107" t="s">
        <v>302</v>
      </c>
      <c r="C107" t="s">
        <v>303</v>
      </c>
      <c r="D107" t="s">
        <v>30</v>
      </c>
      <c r="E107" t="s">
        <v>304</v>
      </c>
      <c r="G107" t="s">
        <v>32</v>
      </c>
      <c r="H107" t="s">
        <v>14</v>
      </c>
      <c r="I107" s="26"/>
    </row>
    <row r="108" spans="1:9" x14ac:dyDescent="0.2">
      <c r="A108">
        <v>95</v>
      </c>
      <c r="B108" t="s">
        <v>305</v>
      </c>
      <c r="C108" t="s">
        <v>306</v>
      </c>
      <c r="D108" t="s">
        <v>118</v>
      </c>
      <c r="E108" t="s">
        <v>307</v>
      </c>
      <c r="F108">
        <v>778</v>
      </c>
      <c r="G108" t="s">
        <v>120</v>
      </c>
      <c r="H108" t="s">
        <v>14</v>
      </c>
      <c r="I108" s="26"/>
    </row>
    <row r="109" spans="1:9" x14ac:dyDescent="0.2">
      <c r="A109">
        <v>96</v>
      </c>
      <c r="B109" t="s">
        <v>308</v>
      </c>
      <c r="C109" t="s">
        <v>309</v>
      </c>
      <c r="D109" t="s">
        <v>30</v>
      </c>
      <c r="E109" t="s">
        <v>310</v>
      </c>
      <c r="F109">
        <v>678.57</v>
      </c>
      <c r="G109" t="s">
        <v>32</v>
      </c>
      <c r="H109" t="s">
        <v>14</v>
      </c>
      <c r="I109" s="26"/>
    </row>
    <row r="110" spans="1:9" x14ac:dyDescent="0.2">
      <c r="A110">
        <v>97</v>
      </c>
      <c r="B110" t="s">
        <v>311</v>
      </c>
      <c r="C110" t="s">
        <v>253</v>
      </c>
      <c r="D110" t="s">
        <v>30</v>
      </c>
      <c r="E110" t="s">
        <v>312</v>
      </c>
      <c r="F110">
        <v>0</v>
      </c>
      <c r="G110" t="s">
        <v>32</v>
      </c>
      <c r="H110" t="s">
        <v>14</v>
      </c>
      <c r="I110" s="26"/>
    </row>
    <row r="111" spans="1:9" x14ac:dyDescent="0.2">
      <c r="A111">
        <v>98</v>
      </c>
      <c r="B111" t="s">
        <v>313</v>
      </c>
      <c r="C111" t="s">
        <v>314</v>
      </c>
      <c r="D111" t="s">
        <v>315</v>
      </c>
      <c r="E111" t="s">
        <v>316</v>
      </c>
      <c r="F111">
        <v>6.0006000000000004</v>
      </c>
      <c r="G111" t="s">
        <v>317</v>
      </c>
      <c r="H111" t="s">
        <v>14</v>
      </c>
      <c r="I111" s="26"/>
    </row>
    <row r="112" spans="1:9" x14ac:dyDescent="0.2">
      <c r="A112">
        <v>99</v>
      </c>
      <c r="B112" t="s">
        <v>318</v>
      </c>
      <c r="C112" t="s">
        <v>319</v>
      </c>
      <c r="D112" t="s">
        <v>118</v>
      </c>
      <c r="E112" t="s">
        <v>318</v>
      </c>
      <c r="F112">
        <v>224</v>
      </c>
      <c r="G112" t="s">
        <v>120</v>
      </c>
      <c r="H112" t="s">
        <v>14</v>
      </c>
      <c r="I112" s="26">
        <v>43167</v>
      </c>
    </row>
    <row r="113" spans="1:9" x14ac:dyDescent="0.2">
      <c r="A113">
        <v>100</v>
      </c>
      <c r="B113" t="s">
        <v>4508</v>
      </c>
      <c r="C113" t="s">
        <v>4518</v>
      </c>
      <c r="D113" t="s">
        <v>315</v>
      </c>
      <c r="E113" t="s">
        <v>4508</v>
      </c>
      <c r="F113">
        <v>9.43</v>
      </c>
      <c r="G113" t="s">
        <v>317</v>
      </c>
      <c r="H113" t="s">
        <v>14</v>
      </c>
      <c r="I113" s="26">
        <v>43235</v>
      </c>
    </row>
    <row r="114" spans="1:9" x14ac:dyDescent="0.2">
      <c r="A114">
        <v>101</v>
      </c>
      <c r="B114" t="s">
        <v>320</v>
      </c>
      <c r="C114" t="s">
        <v>321</v>
      </c>
      <c r="D114" t="s">
        <v>30</v>
      </c>
      <c r="E114" t="s">
        <v>322</v>
      </c>
      <c r="G114" t="s">
        <v>32</v>
      </c>
      <c r="H114" t="s">
        <v>14</v>
      </c>
      <c r="I114" s="26"/>
    </row>
    <row r="115" spans="1:9" x14ac:dyDescent="0.2">
      <c r="A115">
        <v>102</v>
      </c>
      <c r="B115" t="s">
        <v>323</v>
      </c>
      <c r="C115" t="s">
        <v>324</v>
      </c>
      <c r="D115" t="s">
        <v>30</v>
      </c>
      <c r="E115" t="s">
        <v>325</v>
      </c>
      <c r="G115" t="s">
        <v>32</v>
      </c>
      <c r="H115" t="s">
        <v>14</v>
      </c>
      <c r="I115" s="26"/>
    </row>
    <row r="116" spans="1:9" x14ac:dyDescent="0.2">
      <c r="A116">
        <v>103</v>
      </c>
      <c r="B116" t="s">
        <v>4473</v>
      </c>
      <c r="C116" t="s">
        <v>4474</v>
      </c>
      <c r="D116" t="s">
        <v>118</v>
      </c>
      <c r="E116" t="s">
        <v>4475</v>
      </c>
      <c r="F116">
        <v>345</v>
      </c>
      <c r="G116" t="s">
        <v>120</v>
      </c>
      <c r="H116" t="s">
        <v>14</v>
      </c>
      <c r="I116" s="26"/>
    </row>
    <row r="117" spans="1:9" x14ac:dyDescent="0.2">
      <c r="A117">
        <v>104</v>
      </c>
      <c r="B117" t="s">
        <v>326</v>
      </c>
      <c r="C117" t="s">
        <v>327</v>
      </c>
      <c r="D117" t="s">
        <v>118</v>
      </c>
      <c r="E117" t="s">
        <v>326</v>
      </c>
      <c r="F117">
        <v>485</v>
      </c>
      <c r="G117" t="s">
        <v>120</v>
      </c>
      <c r="H117" t="s">
        <v>14</v>
      </c>
      <c r="I117" s="26">
        <v>43202</v>
      </c>
    </row>
    <row r="118" spans="1:9" x14ac:dyDescent="0.2">
      <c r="A118">
        <v>105</v>
      </c>
      <c r="B118" t="s">
        <v>4484</v>
      </c>
      <c r="C118" t="s">
        <v>4485</v>
      </c>
      <c r="D118" t="s">
        <v>118</v>
      </c>
      <c r="E118" t="s">
        <v>4484</v>
      </c>
      <c r="F118">
        <v>1328</v>
      </c>
      <c r="G118" t="s">
        <v>120</v>
      </c>
      <c r="H118" t="s">
        <v>14</v>
      </c>
      <c r="I118" s="26"/>
    </row>
    <row r="119" spans="1:9" x14ac:dyDescent="0.2">
      <c r="A119">
        <v>106</v>
      </c>
      <c r="B119" t="s">
        <v>328</v>
      </c>
      <c r="C119" t="s">
        <v>329</v>
      </c>
      <c r="D119" t="s">
        <v>30</v>
      </c>
      <c r="E119" t="s">
        <v>330</v>
      </c>
      <c r="F119">
        <v>124.81</v>
      </c>
      <c r="G119" t="s">
        <v>32</v>
      </c>
      <c r="H119" t="s">
        <v>14</v>
      </c>
      <c r="I119" s="26">
        <v>42339</v>
      </c>
    </row>
    <row r="120" spans="1:9" x14ac:dyDescent="0.2">
      <c r="A120">
        <v>107</v>
      </c>
      <c r="B120" t="s">
        <v>331</v>
      </c>
      <c r="C120" t="s">
        <v>253</v>
      </c>
      <c r="D120" t="s">
        <v>30</v>
      </c>
      <c r="E120" t="s">
        <v>332</v>
      </c>
      <c r="F120">
        <v>0</v>
      </c>
      <c r="G120" t="s">
        <v>32</v>
      </c>
      <c r="H120" t="s">
        <v>14</v>
      </c>
      <c r="I120" s="26">
        <v>42289</v>
      </c>
    </row>
    <row r="121" spans="1:9" x14ac:dyDescent="0.2">
      <c r="A121">
        <v>108</v>
      </c>
      <c r="B121" t="s">
        <v>333</v>
      </c>
      <c r="C121" t="s">
        <v>253</v>
      </c>
      <c r="D121" t="s">
        <v>30</v>
      </c>
      <c r="E121" t="s">
        <v>332</v>
      </c>
      <c r="F121">
        <v>0</v>
      </c>
      <c r="G121" t="s">
        <v>32</v>
      </c>
      <c r="H121" t="s">
        <v>14</v>
      </c>
      <c r="I121" s="26">
        <v>42289</v>
      </c>
    </row>
    <row r="122" spans="1:9" x14ac:dyDescent="0.2">
      <c r="A122">
        <v>109</v>
      </c>
      <c r="B122" t="s">
        <v>334</v>
      </c>
      <c r="C122" t="s">
        <v>335</v>
      </c>
      <c r="D122" t="s">
        <v>30</v>
      </c>
      <c r="E122" t="s">
        <v>336</v>
      </c>
      <c r="F122">
        <v>389.54</v>
      </c>
      <c r="G122" t="s">
        <v>32</v>
      </c>
      <c r="H122" t="s">
        <v>14</v>
      </c>
      <c r="I122" s="26"/>
    </row>
    <row r="123" spans="1:9" x14ac:dyDescent="0.2">
      <c r="A123">
        <v>110</v>
      </c>
      <c r="B123" t="s">
        <v>337</v>
      </c>
      <c r="C123" t="s">
        <v>338</v>
      </c>
      <c r="D123" t="s">
        <v>30</v>
      </c>
      <c r="E123" t="s">
        <v>339</v>
      </c>
      <c r="F123">
        <v>157.32</v>
      </c>
      <c r="G123" t="s">
        <v>32</v>
      </c>
      <c r="H123" t="s">
        <v>14</v>
      </c>
      <c r="I123" s="26">
        <v>42339</v>
      </c>
    </row>
    <row r="124" spans="1:9" x14ac:dyDescent="0.2">
      <c r="A124">
        <v>111</v>
      </c>
      <c r="B124" t="s">
        <v>340</v>
      </c>
      <c r="C124" t="s">
        <v>253</v>
      </c>
      <c r="D124" t="s">
        <v>30</v>
      </c>
      <c r="E124" t="s">
        <v>341</v>
      </c>
      <c r="F124">
        <v>0</v>
      </c>
      <c r="G124" t="s">
        <v>32</v>
      </c>
      <c r="H124" t="s">
        <v>14</v>
      </c>
      <c r="I124" s="26">
        <v>42289</v>
      </c>
    </row>
    <row r="125" spans="1:9" x14ac:dyDescent="0.2">
      <c r="A125">
        <v>112</v>
      </c>
      <c r="B125" t="s">
        <v>342</v>
      </c>
      <c r="C125" t="s">
        <v>343</v>
      </c>
      <c r="D125" t="s">
        <v>118</v>
      </c>
      <c r="E125" t="s">
        <v>344</v>
      </c>
      <c r="F125">
        <v>385</v>
      </c>
      <c r="G125" t="s">
        <v>120</v>
      </c>
      <c r="H125" t="s">
        <v>14</v>
      </c>
      <c r="I125" s="26">
        <v>42339</v>
      </c>
    </row>
    <row r="126" spans="1:9" x14ac:dyDescent="0.2">
      <c r="A126">
        <v>113</v>
      </c>
      <c r="B126" t="s">
        <v>345</v>
      </c>
      <c r="C126" t="s">
        <v>253</v>
      </c>
      <c r="D126" t="s">
        <v>118</v>
      </c>
      <c r="E126" t="s">
        <v>346</v>
      </c>
      <c r="F126">
        <v>0</v>
      </c>
      <c r="G126" t="s">
        <v>120</v>
      </c>
      <c r="H126" t="s">
        <v>14</v>
      </c>
      <c r="I126" s="26">
        <v>42339</v>
      </c>
    </row>
    <row r="127" spans="1:9" x14ac:dyDescent="0.2">
      <c r="A127">
        <v>114</v>
      </c>
      <c r="B127" t="s">
        <v>347</v>
      </c>
      <c r="C127" t="s">
        <v>348</v>
      </c>
      <c r="D127" t="s">
        <v>118</v>
      </c>
      <c r="E127" t="s">
        <v>349</v>
      </c>
      <c r="F127">
        <v>512</v>
      </c>
      <c r="G127" t="s">
        <v>120</v>
      </c>
      <c r="H127" t="s">
        <v>14</v>
      </c>
      <c r="I127" s="26">
        <v>42289</v>
      </c>
    </row>
    <row r="128" spans="1:9" x14ac:dyDescent="0.2">
      <c r="A128">
        <v>115</v>
      </c>
      <c r="B128" t="s">
        <v>350</v>
      </c>
      <c r="C128" t="s">
        <v>253</v>
      </c>
      <c r="D128" t="s">
        <v>118</v>
      </c>
      <c r="E128" t="s">
        <v>351</v>
      </c>
      <c r="F128">
        <v>0</v>
      </c>
      <c r="G128" t="s">
        <v>120</v>
      </c>
      <c r="H128" t="s">
        <v>14</v>
      </c>
      <c r="I128" s="26">
        <v>42289</v>
      </c>
    </row>
    <row r="129" spans="1:9" x14ac:dyDescent="0.2">
      <c r="A129">
        <v>116</v>
      </c>
      <c r="B129" t="s">
        <v>352</v>
      </c>
      <c r="C129" t="s">
        <v>353</v>
      </c>
      <c r="D129" t="s">
        <v>40</v>
      </c>
      <c r="E129" t="s">
        <v>354</v>
      </c>
      <c r="G129" t="s">
        <v>42</v>
      </c>
      <c r="H129" t="s">
        <v>14</v>
      </c>
      <c r="I129" s="26"/>
    </row>
    <row r="130" spans="1:9" x14ac:dyDescent="0.2">
      <c r="A130">
        <v>117</v>
      </c>
      <c r="B130" t="s">
        <v>355</v>
      </c>
      <c r="C130" t="s">
        <v>356</v>
      </c>
      <c r="D130" t="s">
        <v>40</v>
      </c>
      <c r="E130" t="s">
        <v>357</v>
      </c>
      <c r="F130">
        <v>1872.56</v>
      </c>
      <c r="G130" t="s">
        <v>42</v>
      </c>
      <c r="H130" t="s">
        <v>14</v>
      </c>
      <c r="I130" s="26">
        <v>42558</v>
      </c>
    </row>
    <row r="131" spans="1:9" x14ac:dyDescent="0.2">
      <c r="A131">
        <v>118</v>
      </c>
      <c r="B131" t="s">
        <v>358</v>
      </c>
      <c r="C131" t="s">
        <v>359</v>
      </c>
      <c r="D131" t="s">
        <v>40</v>
      </c>
      <c r="E131" t="s">
        <v>292</v>
      </c>
      <c r="F131">
        <v>0</v>
      </c>
      <c r="G131" t="s">
        <v>42</v>
      </c>
      <c r="H131" t="s">
        <v>14</v>
      </c>
      <c r="I131" s="26">
        <v>42558</v>
      </c>
    </row>
    <row r="132" spans="1:9" x14ac:dyDescent="0.2">
      <c r="A132">
        <v>119</v>
      </c>
      <c r="B132" t="s">
        <v>360</v>
      </c>
      <c r="C132" t="s">
        <v>361</v>
      </c>
      <c r="D132" t="s">
        <v>40</v>
      </c>
      <c r="E132" t="s">
        <v>362</v>
      </c>
      <c r="F132">
        <v>0</v>
      </c>
      <c r="G132" t="s">
        <v>42</v>
      </c>
      <c r="H132" t="s">
        <v>14</v>
      </c>
      <c r="I132" s="26">
        <v>42558</v>
      </c>
    </row>
    <row r="133" spans="1:9" x14ac:dyDescent="0.2">
      <c r="A133">
        <v>120</v>
      </c>
      <c r="B133" t="s">
        <v>363</v>
      </c>
      <c r="C133" t="s">
        <v>361</v>
      </c>
      <c r="D133" t="s">
        <v>40</v>
      </c>
      <c r="E133" t="s">
        <v>362</v>
      </c>
      <c r="F133">
        <v>0</v>
      </c>
      <c r="G133" t="s">
        <v>42</v>
      </c>
      <c r="H133" t="s">
        <v>14</v>
      </c>
      <c r="I133" s="26">
        <v>42558</v>
      </c>
    </row>
    <row r="134" spans="1:9" x14ac:dyDescent="0.2">
      <c r="A134">
        <v>121</v>
      </c>
      <c r="B134" t="s">
        <v>364</v>
      </c>
      <c r="C134" t="s">
        <v>359</v>
      </c>
      <c r="D134" t="s">
        <v>40</v>
      </c>
      <c r="E134" t="s">
        <v>292</v>
      </c>
      <c r="F134">
        <v>0</v>
      </c>
      <c r="G134" t="s">
        <v>42</v>
      </c>
      <c r="H134" t="s">
        <v>14</v>
      </c>
      <c r="I134" s="26">
        <v>42558</v>
      </c>
    </row>
    <row r="135" spans="1:9" x14ac:dyDescent="0.2">
      <c r="A135">
        <v>122</v>
      </c>
      <c r="B135" t="s">
        <v>365</v>
      </c>
      <c r="C135" t="s">
        <v>366</v>
      </c>
      <c r="D135" t="s">
        <v>40</v>
      </c>
      <c r="E135" t="s">
        <v>367</v>
      </c>
      <c r="F135">
        <v>264.02</v>
      </c>
      <c r="G135" t="s">
        <v>42</v>
      </c>
      <c r="H135" t="s">
        <v>14</v>
      </c>
      <c r="I135" s="26">
        <v>43165</v>
      </c>
    </row>
    <row r="136" spans="1:9" x14ac:dyDescent="0.2">
      <c r="A136">
        <v>123</v>
      </c>
      <c r="B136" t="s">
        <v>4538</v>
      </c>
      <c r="C136" t="s">
        <v>4539</v>
      </c>
      <c r="D136" t="s">
        <v>40</v>
      </c>
      <c r="E136" t="s">
        <v>4540</v>
      </c>
      <c r="F136">
        <v>465.03</v>
      </c>
      <c r="G136" t="s">
        <v>42</v>
      </c>
      <c r="H136" t="s">
        <v>14</v>
      </c>
      <c r="I136" s="26">
        <v>43236</v>
      </c>
    </row>
    <row r="137" spans="1:9" x14ac:dyDescent="0.2">
      <c r="A137">
        <v>124</v>
      </c>
      <c r="B137" t="s">
        <v>368</v>
      </c>
      <c r="C137" t="s">
        <v>369</v>
      </c>
      <c r="D137" t="s">
        <v>40</v>
      </c>
      <c r="E137" t="s">
        <v>370</v>
      </c>
      <c r="F137">
        <v>1928.74</v>
      </c>
      <c r="G137" t="s">
        <v>42</v>
      </c>
      <c r="H137" t="s">
        <v>14</v>
      </c>
      <c r="I137" s="26">
        <v>42558</v>
      </c>
    </row>
    <row r="138" spans="1:9" x14ac:dyDescent="0.2">
      <c r="A138">
        <v>125</v>
      </c>
      <c r="B138" t="s">
        <v>371</v>
      </c>
      <c r="C138" t="s">
        <v>359</v>
      </c>
      <c r="D138" t="s">
        <v>40</v>
      </c>
      <c r="E138" t="s">
        <v>292</v>
      </c>
      <c r="F138">
        <v>0</v>
      </c>
      <c r="G138" t="s">
        <v>42</v>
      </c>
      <c r="H138" t="s">
        <v>14</v>
      </c>
      <c r="I138" s="26">
        <v>42558</v>
      </c>
    </row>
    <row r="139" spans="1:9" x14ac:dyDescent="0.2">
      <c r="A139">
        <v>126</v>
      </c>
      <c r="B139" t="s">
        <v>372</v>
      </c>
      <c r="C139" t="s">
        <v>361</v>
      </c>
      <c r="D139" t="s">
        <v>40</v>
      </c>
      <c r="E139" t="s">
        <v>362</v>
      </c>
      <c r="F139">
        <v>0</v>
      </c>
      <c r="G139" t="s">
        <v>42</v>
      </c>
      <c r="H139" t="s">
        <v>14</v>
      </c>
      <c r="I139" s="26">
        <v>42558</v>
      </c>
    </row>
    <row r="140" spans="1:9" x14ac:dyDescent="0.2">
      <c r="A140">
        <v>127</v>
      </c>
      <c r="B140" t="s">
        <v>373</v>
      </c>
      <c r="C140" t="s">
        <v>361</v>
      </c>
      <c r="D140" t="s">
        <v>40</v>
      </c>
      <c r="E140" t="s">
        <v>362</v>
      </c>
      <c r="F140">
        <v>0</v>
      </c>
      <c r="G140" t="s">
        <v>42</v>
      </c>
      <c r="H140" t="s">
        <v>14</v>
      </c>
      <c r="I140" s="26">
        <v>42558</v>
      </c>
    </row>
    <row r="141" spans="1:9" x14ac:dyDescent="0.2">
      <c r="A141">
        <v>128</v>
      </c>
      <c r="B141" t="s">
        <v>374</v>
      </c>
      <c r="C141" t="s">
        <v>359</v>
      </c>
      <c r="D141" t="s">
        <v>40</v>
      </c>
      <c r="E141" t="s">
        <v>292</v>
      </c>
      <c r="F141">
        <v>0</v>
      </c>
      <c r="G141" t="s">
        <v>42</v>
      </c>
      <c r="H141" t="s">
        <v>14</v>
      </c>
      <c r="I141" s="26">
        <v>42558</v>
      </c>
    </row>
    <row r="142" spans="1:9" x14ac:dyDescent="0.2">
      <c r="A142">
        <v>129</v>
      </c>
      <c r="B142" t="s">
        <v>375</v>
      </c>
      <c r="C142" t="s">
        <v>376</v>
      </c>
      <c r="D142" t="s">
        <v>40</v>
      </c>
      <c r="E142" t="s">
        <v>377</v>
      </c>
      <c r="F142">
        <v>1943.3</v>
      </c>
      <c r="G142" t="s">
        <v>42</v>
      </c>
      <c r="H142" t="s">
        <v>14</v>
      </c>
      <c r="I142" s="26"/>
    </row>
    <row r="143" spans="1:9" x14ac:dyDescent="0.2">
      <c r="A143">
        <v>130</v>
      </c>
      <c r="B143" t="s">
        <v>378</v>
      </c>
      <c r="C143" t="s">
        <v>379</v>
      </c>
      <c r="D143" t="s">
        <v>40</v>
      </c>
      <c r="E143" t="s">
        <v>380</v>
      </c>
      <c r="F143">
        <v>1943.3</v>
      </c>
      <c r="G143" t="s">
        <v>42</v>
      </c>
      <c r="H143" t="s">
        <v>14</v>
      </c>
      <c r="I143" s="26"/>
    </row>
    <row r="144" spans="1:9" x14ac:dyDescent="0.2">
      <c r="A144">
        <v>131</v>
      </c>
      <c r="B144" t="s">
        <v>381</v>
      </c>
      <c r="C144" t="s">
        <v>382</v>
      </c>
      <c r="D144" t="s">
        <v>40</v>
      </c>
      <c r="E144" t="s">
        <v>383</v>
      </c>
      <c r="F144">
        <v>1943.3</v>
      </c>
      <c r="G144" t="s">
        <v>42</v>
      </c>
      <c r="H144" t="s">
        <v>14</v>
      </c>
      <c r="I144" s="26">
        <v>42289</v>
      </c>
    </row>
    <row r="145" spans="1:9" x14ac:dyDescent="0.2">
      <c r="A145">
        <v>132</v>
      </c>
      <c r="B145" t="s">
        <v>384</v>
      </c>
      <c r="C145" t="s">
        <v>385</v>
      </c>
      <c r="D145" t="s">
        <v>40</v>
      </c>
      <c r="E145" t="s">
        <v>386</v>
      </c>
      <c r="F145">
        <v>259.16000000000003</v>
      </c>
      <c r="G145" t="s">
        <v>42</v>
      </c>
      <c r="H145" t="s">
        <v>14</v>
      </c>
      <c r="I145" s="26">
        <v>43171</v>
      </c>
    </row>
    <row r="146" spans="1:9" x14ac:dyDescent="0.2">
      <c r="A146">
        <v>133</v>
      </c>
      <c r="B146" t="s">
        <v>387</v>
      </c>
      <c r="C146" t="s">
        <v>388</v>
      </c>
      <c r="D146" t="s">
        <v>40</v>
      </c>
      <c r="E146" t="s">
        <v>389</v>
      </c>
      <c r="F146">
        <v>2261.16</v>
      </c>
      <c r="G146" t="s">
        <v>42</v>
      </c>
      <c r="H146" t="s">
        <v>14</v>
      </c>
      <c r="I146" s="26">
        <v>42289</v>
      </c>
    </row>
    <row r="147" spans="1:9" x14ac:dyDescent="0.2">
      <c r="A147">
        <v>134</v>
      </c>
      <c r="B147" t="s">
        <v>390</v>
      </c>
      <c r="C147" t="s">
        <v>271</v>
      </c>
      <c r="D147" t="s">
        <v>40</v>
      </c>
      <c r="E147" t="s">
        <v>391</v>
      </c>
      <c r="F147">
        <v>0</v>
      </c>
      <c r="G147" t="s">
        <v>42</v>
      </c>
      <c r="H147" t="s">
        <v>14</v>
      </c>
      <c r="I147" s="26">
        <v>42290</v>
      </c>
    </row>
    <row r="148" spans="1:9" x14ac:dyDescent="0.2">
      <c r="A148">
        <v>135</v>
      </c>
      <c r="B148" t="s">
        <v>392</v>
      </c>
      <c r="C148" t="s">
        <v>218</v>
      </c>
      <c r="D148" t="s">
        <v>40</v>
      </c>
      <c r="E148" t="s">
        <v>391</v>
      </c>
      <c r="F148">
        <v>0</v>
      </c>
      <c r="G148" t="s">
        <v>42</v>
      </c>
      <c r="H148" t="s">
        <v>14</v>
      </c>
      <c r="I148" s="26">
        <v>42290</v>
      </c>
    </row>
    <row r="149" spans="1:9" x14ac:dyDescent="0.2">
      <c r="A149">
        <v>136</v>
      </c>
      <c r="B149" t="s">
        <v>393</v>
      </c>
      <c r="C149" t="s">
        <v>218</v>
      </c>
      <c r="D149" t="s">
        <v>40</v>
      </c>
      <c r="E149" t="s">
        <v>391</v>
      </c>
      <c r="F149">
        <v>0</v>
      </c>
      <c r="G149" t="s">
        <v>42</v>
      </c>
      <c r="H149" t="s">
        <v>14</v>
      </c>
      <c r="I149" s="26">
        <v>42290</v>
      </c>
    </row>
    <row r="150" spans="1:9" x14ac:dyDescent="0.2">
      <c r="A150">
        <v>137</v>
      </c>
      <c r="B150" t="s">
        <v>394</v>
      </c>
      <c r="C150" t="s">
        <v>271</v>
      </c>
      <c r="D150" t="s">
        <v>40</v>
      </c>
      <c r="E150" t="s">
        <v>391</v>
      </c>
      <c r="F150">
        <v>0</v>
      </c>
      <c r="G150" t="s">
        <v>42</v>
      </c>
      <c r="H150" t="s">
        <v>14</v>
      </c>
      <c r="I150" s="26">
        <v>42290</v>
      </c>
    </row>
    <row r="151" spans="1:9" x14ac:dyDescent="0.2">
      <c r="A151">
        <v>138</v>
      </c>
      <c r="B151" t="s">
        <v>395</v>
      </c>
      <c r="C151" t="s">
        <v>396</v>
      </c>
      <c r="D151" t="s">
        <v>40</v>
      </c>
      <c r="E151" t="s">
        <v>397</v>
      </c>
      <c r="F151">
        <v>2363.5500000000002</v>
      </c>
      <c r="G151" t="s">
        <v>42</v>
      </c>
      <c r="H151" t="s">
        <v>14</v>
      </c>
      <c r="I151" s="26"/>
    </row>
    <row r="152" spans="1:9" x14ac:dyDescent="0.2">
      <c r="A152">
        <v>139</v>
      </c>
      <c r="B152" t="s">
        <v>398</v>
      </c>
      <c r="C152" t="s">
        <v>399</v>
      </c>
      <c r="D152" t="s">
        <v>40</v>
      </c>
      <c r="E152" t="s">
        <v>400</v>
      </c>
      <c r="F152">
        <v>2355.5300000000002</v>
      </c>
      <c r="G152" t="s">
        <v>42</v>
      </c>
      <c r="H152" t="s">
        <v>14</v>
      </c>
      <c r="I152" s="26"/>
    </row>
    <row r="153" spans="1:9" x14ac:dyDescent="0.2">
      <c r="A153">
        <v>140</v>
      </c>
      <c r="B153" t="s">
        <v>401</v>
      </c>
      <c r="C153" t="s">
        <v>402</v>
      </c>
      <c r="D153" t="s">
        <v>40</v>
      </c>
      <c r="E153" t="s">
        <v>403</v>
      </c>
      <c r="F153">
        <v>0</v>
      </c>
      <c r="G153" t="s">
        <v>42</v>
      </c>
      <c r="H153" t="s">
        <v>14</v>
      </c>
      <c r="I153" s="26"/>
    </row>
    <row r="154" spans="1:9" x14ac:dyDescent="0.2">
      <c r="A154">
        <v>141</v>
      </c>
      <c r="B154" t="s">
        <v>404</v>
      </c>
      <c r="C154" t="s">
        <v>405</v>
      </c>
      <c r="D154" t="s">
        <v>40</v>
      </c>
      <c r="E154" t="s">
        <v>406</v>
      </c>
      <c r="F154">
        <v>2355.5300000000002</v>
      </c>
      <c r="G154" t="s">
        <v>42</v>
      </c>
      <c r="H154" t="s">
        <v>14</v>
      </c>
      <c r="I154" s="26"/>
    </row>
    <row r="155" spans="1:9" x14ac:dyDescent="0.2">
      <c r="A155">
        <v>142</v>
      </c>
      <c r="B155" t="s">
        <v>407</v>
      </c>
      <c r="C155" t="s">
        <v>408</v>
      </c>
      <c r="D155" t="s">
        <v>40</v>
      </c>
      <c r="E155" t="s">
        <v>409</v>
      </c>
      <c r="F155">
        <v>4207.42</v>
      </c>
      <c r="G155" t="s">
        <v>42</v>
      </c>
      <c r="H155" t="s">
        <v>14</v>
      </c>
      <c r="I155" s="26"/>
    </row>
    <row r="156" spans="1:9" x14ac:dyDescent="0.2">
      <c r="A156">
        <v>143</v>
      </c>
      <c r="B156" t="s">
        <v>410</v>
      </c>
      <c r="C156" t="s">
        <v>411</v>
      </c>
      <c r="D156" t="s">
        <v>40</v>
      </c>
      <c r="E156" t="s">
        <v>412</v>
      </c>
      <c r="F156">
        <v>3390.85</v>
      </c>
      <c r="G156" t="s">
        <v>42</v>
      </c>
      <c r="H156" t="s">
        <v>14</v>
      </c>
      <c r="I156" s="26"/>
    </row>
    <row r="157" spans="1:9" x14ac:dyDescent="0.2">
      <c r="A157">
        <v>144</v>
      </c>
      <c r="B157" t="s">
        <v>413</v>
      </c>
      <c r="C157" t="s">
        <v>414</v>
      </c>
      <c r="D157" t="s">
        <v>415</v>
      </c>
      <c r="E157" t="s">
        <v>416</v>
      </c>
      <c r="F157">
        <v>2664.24</v>
      </c>
      <c r="G157" t="s">
        <v>417</v>
      </c>
      <c r="H157" t="s">
        <v>14</v>
      </c>
      <c r="I157" s="26">
        <v>42289</v>
      </c>
    </row>
    <row r="158" spans="1:9" x14ac:dyDescent="0.2">
      <c r="A158">
        <v>145</v>
      </c>
      <c r="B158" t="s">
        <v>418</v>
      </c>
      <c r="C158" t="s">
        <v>271</v>
      </c>
      <c r="D158" t="s">
        <v>415</v>
      </c>
      <c r="E158" t="s">
        <v>419</v>
      </c>
      <c r="F158">
        <v>0</v>
      </c>
      <c r="G158" t="s">
        <v>417</v>
      </c>
      <c r="H158" t="s">
        <v>14</v>
      </c>
      <c r="I158" s="26">
        <v>42531</v>
      </c>
    </row>
    <row r="159" spans="1:9" x14ac:dyDescent="0.2">
      <c r="A159">
        <v>146</v>
      </c>
      <c r="B159" t="s">
        <v>420</v>
      </c>
      <c r="C159" t="s">
        <v>218</v>
      </c>
      <c r="D159" t="s">
        <v>415</v>
      </c>
      <c r="E159" t="s">
        <v>419</v>
      </c>
      <c r="F159">
        <v>0</v>
      </c>
      <c r="G159" t="s">
        <v>417</v>
      </c>
      <c r="H159" t="s">
        <v>14</v>
      </c>
      <c r="I159" s="26">
        <v>42531</v>
      </c>
    </row>
    <row r="160" spans="1:9" x14ac:dyDescent="0.2">
      <c r="A160">
        <v>147</v>
      </c>
      <c r="B160" t="s">
        <v>421</v>
      </c>
      <c r="C160" t="s">
        <v>218</v>
      </c>
      <c r="D160" t="s">
        <v>415</v>
      </c>
      <c r="E160" t="s">
        <v>419</v>
      </c>
      <c r="F160">
        <v>0</v>
      </c>
      <c r="G160" t="s">
        <v>417</v>
      </c>
      <c r="H160" t="s">
        <v>14</v>
      </c>
      <c r="I160" s="26">
        <v>42531</v>
      </c>
    </row>
    <row r="161" spans="1:9" x14ac:dyDescent="0.2">
      <c r="A161">
        <v>148</v>
      </c>
      <c r="B161" t="s">
        <v>422</v>
      </c>
      <c r="C161" t="s">
        <v>271</v>
      </c>
      <c r="D161" t="s">
        <v>415</v>
      </c>
      <c r="E161" t="s">
        <v>419</v>
      </c>
      <c r="F161">
        <v>0</v>
      </c>
      <c r="G161" t="s">
        <v>417</v>
      </c>
      <c r="H161" t="s">
        <v>14</v>
      </c>
      <c r="I161" s="26">
        <v>42531</v>
      </c>
    </row>
    <row r="162" spans="1:9" x14ac:dyDescent="0.2">
      <c r="A162">
        <v>149</v>
      </c>
      <c r="B162" t="s">
        <v>423</v>
      </c>
      <c r="C162" t="s">
        <v>424</v>
      </c>
      <c r="D162" t="s">
        <v>415</v>
      </c>
      <c r="E162" t="s">
        <v>416</v>
      </c>
      <c r="F162">
        <v>2612</v>
      </c>
      <c r="G162" t="s">
        <v>417</v>
      </c>
      <c r="H162" t="s">
        <v>14</v>
      </c>
      <c r="I162" s="26"/>
    </row>
    <row r="163" spans="1:9" x14ac:dyDescent="0.2">
      <c r="A163">
        <v>150</v>
      </c>
      <c r="B163" t="s">
        <v>425</v>
      </c>
      <c r="C163" t="s">
        <v>426</v>
      </c>
      <c r="D163" t="s">
        <v>40</v>
      </c>
      <c r="E163" t="s">
        <v>427</v>
      </c>
      <c r="F163">
        <v>3626.68</v>
      </c>
      <c r="G163" t="s">
        <v>42</v>
      </c>
      <c r="H163" t="s">
        <v>14</v>
      </c>
      <c r="I163" s="26"/>
    </row>
    <row r="164" spans="1:9" x14ac:dyDescent="0.2">
      <c r="A164">
        <v>151</v>
      </c>
      <c r="B164" t="s">
        <v>428</v>
      </c>
      <c r="C164" t="s">
        <v>429</v>
      </c>
      <c r="D164" t="s">
        <v>40</v>
      </c>
      <c r="E164" t="s">
        <v>289</v>
      </c>
      <c r="F164">
        <v>0</v>
      </c>
      <c r="G164" t="s">
        <v>42</v>
      </c>
      <c r="H164" t="s">
        <v>14</v>
      </c>
      <c r="I164" s="26"/>
    </row>
    <row r="165" spans="1:9" x14ac:dyDescent="0.2">
      <c r="A165">
        <v>152</v>
      </c>
      <c r="B165" t="s">
        <v>430</v>
      </c>
      <c r="C165" t="s">
        <v>431</v>
      </c>
      <c r="D165" t="s">
        <v>40</v>
      </c>
      <c r="E165" t="s">
        <v>289</v>
      </c>
      <c r="F165">
        <v>0</v>
      </c>
      <c r="G165" t="s">
        <v>42</v>
      </c>
      <c r="H165" t="s">
        <v>14</v>
      </c>
      <c r="I165" s="26"/>
    </row>
    <row r="166" spans="1:9" x14ac:dyDescent="0.2">
      <c r="A166">
        <v>153</v>
      </c>
      <c r="B166" t="s">
        <v>432</v>
      </c>
      <c r="C166" t="s">
        <v>433</v>
      </c>
      <c r="D166" t="s">
        <v>40</v>
      </c>
      <c r="E166" t="s">
        <v>434</v>
      </c>
      <c r="F166">
        <v>0</v>
      </c>
      <c r="G166" t="s">
        <v>42</v>
      </c>
      <c r="H166" t="s">
        <v>14</v>
      </c>
      <c r="I166" s="26"/>
    </row>
    <row r="167" spans="1:9" x14ac:dyDescent="0.2">
      <c r="A167">
        <v>154</v>
      </c>
      <c r="B167" t="s">
        <v>435</v>
      </c>
      <c r="C167" t="s">
        <v>426</v>
      </c>
      <c r="D167" t="s">
        <v>40</v>
      </c>
      <c r="E167" t="s">
        <v>436</v>
      </c>
      <c r="F167">
        <v>3681.08</v>
      </c>
      <c r="G167" t="s">
        <v>42</v>
      </c>
      <c r="H167" t="s">
        <v>14</v>
      </c>
      <c r="I167" s="26"/>
    </row>
    <row r="168" spans="1:9" x14ac:dyDescent="0.2">
      <c r="A168">
        <v>155</v>
      </c>
      <c r="B168" t="s">
        <v>437</v>
      </c>
      <c r="C168" t="s">
        <v>438</v>
      </c>
      <c r="D168" t="s">
        <v>40</v>
      </c>
      <c r="E168" t="s">
        <v>439</v>
      </c>
      <c r="G168" t="s">
        <v>42</v>
      </c>
      <c r="H168" t="s">
        <v>14</v>
      </c>
      <c r="I168" s="26"/>
    </row>
    <row r="169" spans="1:9" x14ac:dyDescent="0.2">
      <c r="A169">
        <v>156</v>
      </c>
      <c r="B169" t="s">
        <v>440</v>
      </c>
      <c r="C169" t="s">
        <v>29</v>
      </c>
      <c r="D169" t="s">
        <v>30</v>
      </c>
      <c r="E169" t="s">
        <v>441</v>
      </c>
      <c r="F169">
        <v>42.47</v>
      </c>
      <c r="G169" t="s">
        <v>32</v>
      </c>
      <c r="H169" t="s">
        <v>14</v>
      </c>
      <c r="I169" s="26"/>
    </row>
    <row r="170" spans="1:9" x14ac:dyDescent="0.2">
      <c r="A170">
        <v>157</v>
      </c>
      <c r="B170" t="s">
        <v>442</v>
      </c>
      <c r="C170" t="s">
        <v>443</v>
      </c>
      <c r="D170" t="s">
        <v>30</v>
      </c>
      <c r="E170" t="s">
        <v>444</v>
      </c>
      <c r="F170">
        <v>450.92</v>
      </c>
      <c r="G170" t="s">
        <v>32</v>
      </c>
      <c r="H170" t="s">
        <v>445</v>
      </c>
      <c r="I170" s="26"/>
    </row>
    <row r="171" spans="1:9" x14ac:dyDescent="0.2">
      <c r="A171">
        <v>158</v>
      </c>
      <c r="B171" t="s">
        <v>446</v>
      </c>
      <c r="C171" t="s">
        <v>447</v>
      </c>
      <c r="D171" t="s">
        <v>30</v>
      </c>
      <c r="E171" t="s">
        <v>448</v>
      </c>
      <c r="F171">
        <v>0</v>
      </c>
      <c r="G171" t="s">
        <v>32</v>
      </c>
      <c r="H171" t="s">
        <v>449</v>
      </c>
      <c r="I171" s="26"/>
    </row>
    <row r="172" spans="1:9" x14ac:dyDescent="0.2">
      <c r="A172">
        <v>159</v>
      </c>
      <c r="B172" t="s">
        <v>450</v>
      </c>
      <c r="C172" t="s">
        <v>451</v>
      </c>
      <c r="D172" t="s">
        <v>40</v>
      </c>
      <c r="E172" t="s">
        <v>452</v>
      </c>
      <c r="F172">
        <v>1951.16</v>
      </c>
      <c r="G172" t="s">
        <v>42</v>
      </c>
      <c r="H172" t="s">
        <v>14</v>
      </c>
      <c r="I172" s="26"/>
    </row>
    <row r="173" spans="1:9" x14ac:dyDescent="0.2">
      <c r="A173">
        <v>160</v>
      </c>
      <c r="B173" t="s">
        <v>453</v>
      </c>
      <c r="C173" t="s">
        <v>402</v>
      </c>
      <c r="D173" t="s">
        <v>40</v>
      </c>
      <c r="E173" t="s">
        <v>403</v>
      </c>
      <c r="F173">
        <v>0</v>
      </c>
      <c r="G173" t="s">
        <v>42</v>
      </c>
      <c r="H173" t="s">
        <v>14</v>
      </c>
      <c r="I173" s="26"/>
    </row>
    <row r="174" spans="1:9" x14ac:dyDescent="0.2">
      <c r="A174">
        <v>161</v>
      </c>
      <c r="B174" t="s">
        <v>454</v>
      </c>
      <c r="C174" t="s">
        <v>455</v>
      </c>
      <c r="D174" t="s">
        <v>40</v>
      </c>
      <c r="E174" t="s">
        <v>456</v>
      </c>
      <c r="F174">
        <v>1951.16</v>
      </c>
      <c r="G174" t="s">
        <v>42</v>
      </c>
      <c r="H174" t="s">
        <v>14</v>
      </c>
      <c r="I174" s="26"/>
    </row>
    <row r="175" spans="1:9" x14ac:dyDescent="0.2">
      <c r="A175">
        <v>162</v>
      </c>
      <c r="B175" t="s">
        <v>457</v>
      </c>
      <c r="C175" t="s">
        <v>402</v>
      </c>
      <c r="D175" t="s">
        <v>40</v>
      </c>
      <c r="E175" t="s">
        <v>403</v>
      </c>
      <c r="F175">
        <v>0</v>
      </c>
      <c r="G175" t="s">
        <v>42</v>
      </c>
      <c r="H175" t="s">
        <v>14</v>
      </c>
      <c r="I175" s="26"/>
    </row>
    <row r="176" spans="1:9" x14ac:dyDescent="0.2">
      <c r="A176">
        <v>163</v>
      </c>
      <c r="B176" t="s">
        <v>458</v>
      </c>
      <c r="C176" t="s">
        <v>459</v>
      </c>
      <c r="D176" t="s">
        <v>40</v>
      </c>
      <c r="E176" t="s">
        <v>460</v>
      </c>
      <c r="F176">
        <v>2363.5500000000002</v>
      </c>
      <c r="G176" t="s">
        <v>42</v>
      </c>
      <c r="H176" t="s">
        <v>14</v>
      </c>
      <c r="I176" s="26"/>
    </row>
    <row r="177" spans="1:9" x14ac:dyDescent="0.2">
      <c r="A177">
        <v>164</v>
      </c>
      <c r="B177" t="s">
        <v>461</v>
      </c>
      <c r="C177" t="s">
        <v>402</v>
      </c>
      <c r="D177" t="s">
        <v>40</v>
      </c>
      <c r="E177" t="s">
        <v>403</v>
      </c>
      <c r="F177">
        <v>0</v>
      </c>
      <c r="G177" t="s">
        <v>42</v>
      </c>
      <c r="H177" t="s">
        <v>14</v>
      </c>
      <c r="I177" s="26"/>
    </row>
    <row r="178" spans="1:9" x14ac:dyDescent="0.2">
      <c r="A178">
        <v>165</v>
      </c>
      <c r="B178" t="s">
        <v>462</v>
      </c>
      <c r="C178" t="s">
        <v>463</v>
      </c>
      <c r="D178" t="s">
        <v>40</v>
      </c>
      <c r="E178" t="s">
        <v>464</v>
      </c>
      <c r="F178">
        <v>2316.2800000000002</v>
      </c>
      <c r="G178" t="s">
        <v>42</v>
      </c>
      <c r="H178" t="s">
        <v>14</v>
      </c>
      <c r="I178" s="26"/>
    </row>
    <row r="179" spans="1:9" x14ac:dyDescent="0.2">
      <c r="A179">
        <v>166</v>
      </c>
      <c r="B179" t="s">
        <v>465</v>
      </c>
      <c r="C179" t="s">
        <v>466</v>
      </c>
      <c r="D179" t="s">
        <v>40</v>
      </c>
      <c r="E179" t="s">
        <v>467</v>
      </c>
      <c r="F179">
        <v>4400.74</v>
      </c>
      <c r="G179" t="s">
        <v>42</v>
      </c>
      <c r="H179" t="s">
        <v>14</v>
      </c>
      <c r="I179" s="26">
        <v>43133</v>
      </c>
    </row>
    <row r="180" spans="1:9" x14ac:dyDescent="0.2">
      <c r="A180">
        <v>167</v>
      </c>
      <c r="B180" t="s">
        <v>468</v>
      </c>
      <c r="C180" t="s">
        <v>469</v>
      </c>
      <c r="D180" t="s">
        <v>30</v>
      </c>
      <c r="E180" t="s">
        <v>470</v>
      </c>
      <c r="F180">
        <v>44.27</v>
      </c>
      <c r="G180" t="s">
        <v>32</v>
      </c>
      <c r="H180" t="s">
        <v>14</v>
      </c>
      <c r="I180" s="26">
        <v>42339</v>
      </c>
    </row>
    <row r="181" spans="1:9" x14ac:dyDescent="0.2">
      <c r="A181">
        <v>168</v>
      </c>
      <c r="B181" t="s">
        <v>471</v>
      </c>
      <c r="C181" t="s">
        <v>472</v>
      </c>
      <c r="D181" t="s">
        <v>30</v>
      </c>
      <c r="E181" t="s">
        <v>473</v>
      </c>
      <c r="F181">
        <v>68.81</v>
      </c>
      <c r="G181" t="s">
        <v>32</v>
      </c>
      <c r="H181" t="s">
        <v>14</v>
      </c>
      <c r="I181" s="26">
        <v>42339</v>
      </c>
    </row>
    <row r="182" spans="1:9" x14ac:dyDescent="0.2">
      <c r="A182">
        <v>169</v>
      </c>
      <c r="B182" t="s">
        <v>474</v>
      </c>
      <c r="C182" t="s">
        <v>475</v>
      </c>
      <c r="D182" t="s">
        <v>118</v>
      </c>
      <c r="E182" t="s">
        <v>474</v>
      </c>
      <c r="F182">
        <v>98</v>
      </c>
      <c r="G182" t="s">
        <v>120</v>
      </c>
      <c r="H182" t="s">
        <v>14</v>
      </c>
      <c r="I182" s="26">
        <v>43165</v>
      </c>
    </row>
    <row r="183" spans="1:9" x14ac:dyDescent="0.2">
      <c r="A183">
        <v>170</v>
      </c>
      <c r="B183" t="s">
        <v>476</v>
      </c>
      <c r="C183" t="s">
        <v>477</v>
      </c>
      <c r="D183" t="s">
        <v>118</v>
      </c>
      <c r="E183" t="s">
        <v>476</v>
      </c>
      <c r="F183">
        <v>165</v>
      </c>
      <c r="G183" t="s">
        <v>120</v>
      </c>
      <c r="H183" t="s">
        <v>14</v>
      </c>
      <c r="I183" s="26">
        <v>43165</v>
      </c>
    </row>
    <row r="184" spans="1:9" x14ac:dyDescent="0.2">
      <c r="A184">
        <v>171</v>
      </c>
      <c r="B184" t="s">
        <v>478</v>
      </c>
      <c r="C184" t="s">
        <v>479</v>
      </c>
      <c r="D184" t="s">
        <v>480</v>
      </c>
      <c r="E184" t="s">
        <v>481</v>
      </c>
      <c r="F184">
        <v>331</v>
      </c>
      <c r="G184" t="s">
        <v>482</v>
      </c>
      <c r="H184" t="s">
        <v>14</v>
      </c>
      <c r="I184" s="26"/>
    </row>
    <row r="185" spans="1:9" x14ac:dyDescent="0.2">
      <c r="A185">
        <v>172</v>
      </c>
      <c r="B185" t="s">
        <v>483</v>
      </c>
      <c r="C185" t="s">
        <v>484</v>
      </c>
      <c r="D185" t="s">
        <v>480</v>
      </c>
      <c r="E185" t="s">
        <v>485</v>
      </c>
      <c r="F185">
        <v>329.81</v>
      </c>
      <c r="G185" t="s">
        <v>482</v>
      </c>
      <c r="H185" t="s">
        <v>14</v>
      </c>
      <c r="I185" s="26"/>
    </row>
    <row r="186" spans="1:9" x14ac:dyDescent="0.2">
      <c r="A186">
        <v>173</v>
      </c>
      <c r="B186" t="s">
        <v>486</v>
      </c>
      <c r="C186" t="s">
        <v>487</v>
      </c>
      <c r="D186" t="s">
        <v>480</v>
      </c>
      <c r="E186" t="s">
        <v>488</v>
      </c>
      <c r="F186">
        <v>230</v>
      </c>
      <c r="G186" t="s">
        <v>482</v>
      </c>
      <c r="H186" t="s">
        <v>14</v>
      </c>
      <c r="I186" s="26"/>
    </row>
    <row r="187" spans="1:9" x14ac:dyDescent="0.2">
      <c r="A187">
        <v>174</v>
      </c>
      <c r="B187" t="s">
        <v>489</v>
      </c>
      <c r="C187" t="s">
        <v>490</v>
      </c>
      <c r="D187" t="s">
        <v>491</v>
      </c>
      <c r="E187" t="s">
        <v>492</v>
      </c>
      <c r="G187" t="s">
        <v>493</v>
      </c>
      <c r="H187" t="s">
        <v>14</v>
      </c>
      <c r="I187" s="26"/>
    </row>
    <row r="188" spans="1:9" x14ac:dyDescent="0.2">
      <c r="A188">
        <v>175</v>
      </c>
      <c r="B188" t="s">
        <v>494</v>
      </c>
      <c r="C188" t="s">
        <v>495</v>
      </c>
      <c r="D188" t="s">
        <v>491</v>
      </c>
      <c r="E188" t="s">
        <v>496</v>
      </c>
      <c r="F188">
        <v>34.92</v>
      </c>
      <c r="G188" t="s">
        <v>493</v>
      </c>
      <c r="H188" t="s">
        <v>14</v>
      </c>
      <c r="I188" s="26"/>
    </row>
    <row r="189" spans="1:9" x14ac:dyDescent="0.2">
      <c r="A189">
        <v>176</v>
      </c>
      <c r="B189" t="s">
        <v>497</v>
      </c>
      <c r="C189" t="s">
        <v>498</v>
      </c>
      <c r="D189" t="s">
        <v>491</v>
      </c>
      <c r="E189" t="s">
        <v>499</v>
      </c>
      <c r="F189">
        <v>70.55</v>
      </c>
      <c r="G189" t="s">
        <v>493</v>
      </c>
      <c r="H189" t="s">
        <v>14</v>
      </c>
      <c r="I189" s="26">
        <v>42290</v>
      </c>
    </row>
    <row r="190" spans="1:9" x14ac:dyDescent="0.2">
      <c r="A190">
        <v>177</v>
      </c>
      <c r="B190" t="s">
        <v>500</v>
      </c>
      <c r="C190" t="s">
        <v>501</v>
      </c>
      <c r="D190" t="s">
        <v>491</v>
      </c>
      <c r="E190" t="s">
        <v>502</v>
      </c>
      <c r="F190">
        <v>66.239999999999995</v>
      </c>
      <c r="G190" t="s">
        <v>493</v>
      </c>
      <c r="H190" t="s">
        <v>14</v>
      </c>
      <c r="I190" s="26"/>
    </row>
    <row r="191" spans="1:9" x14ac:dyDescent="0.2">
      <c r="A191">
        <v>178</v>
      </c>
      <c r="B191" t="s">
        <v>503</v>
      </c>
      <c r="C191" t="s">
        <v>504</v>
      </c>
      <c r="D191" t="s">
        <v>491</v>
      </c>
      <c r="E191" t="s">
        <v>505</v>
      </c>
      <c r="F191">
        <v>66.239999999999995</v>
      </c>
      <c r="G191" t="s">
        <v>493</v>
      </c>
      <c r="H191" t="s">
        <v>14</v>
      </c>
      <c r="I191" s="26"/>
    </row>
    <row r="192" spans="1:9" x14ac:dyDescent="0.2">
      <c r="A192">
        <v>179</v>
      </c>
      <c r="B192" t="s">
        <v>506</v>
      </c>
      <c r="C192" t="s">
        <v>507</v>
      </c>
      <c r="D192" t="s">
        <v>508</v>
      </c>
      <c r="E192" t="s">
        <v>509</v>
      </c>
      <c r="F192">
        <v>2.61</v>
      </c>
      <c r="G192" t="s">
        <v>510</v>
      </c>
      <c r="H192" t="s">
        <v>14</v>
      </c>
      <c r="I192" s="26">
        <v>42289</v>
      </c>
    </row>
    <row r="193" spans="1:9" x14ac:dyDescent="0.2">
      <c r="A193">
        <v>1555</v>
      </c>
      <c r="B193" t="s">
        <v>4574</v>
      </c>
      <c r="C193" t="s">
        <v>4575</v>
      </c>
      <c r="D193" t="s">
        <v>3566</v>
      </c>
      <c r="E193" t="s">
        <v>4576</v>
      </c>
      <c r="F193">
        <v>71.52</v>
      </c>
      <c r="G193" t="s">
        <v>3568</v>
      </c>
      <c r="I193" s="26">
        <v>43257</v>
      </c>
    </row>
    <row r="194" spans="1:9" x14ac:dyDescent="0.2">
      <c r="A194">
        <v>1556</v>
      </c>
      <c r="B194" t="s">
        <v>4577</v>
      </c>
      <c r="C194" t="s">
        <v>4578</v>
      </c>
      <c r="D194" t="s">
        <v>26</v>
      </c>
      <c r="E194" t="s">
        <v>289</v>
      </c>
      <c r="F194">
        <v>34.76</v>
      </c>
      <c r="G194" t="s">
        <v>27</v>
      </c>
      <c r="I194" s="26">
        <v>43257</v>
      </c>
    </row>
    <row r="195" spans="1:9" x14ac:dyDescent="0.2">
      <c r="A195">
        <v>180</v>
      </c>
      <c r="B195" t="s">
        <v>511</v>
      </c>
      <c r="C195" t="s">
        <v>512</v>
      </c>
      <c r="D195" t="s">
        <v>508</v>
      </c>
      <c r="E195" t="s">
        <v>513</v>
      </c>
      <c r="F195">
        <v>2.61</v>
      </c>
      <c r="G195" t="s">
        <v>510</v>
      </c>
      <c r="H195" t="s">
        <v>14</v>
      </c>
      <c r="I195" s="26">
        <v>42339</v>
      </c>
    </row>
    <row r="196" spans="1:9" x14ac:dyDescent="0.2">
      <c r="A196">
        <v>181</v>
      </c>
      <c r="B196" t="s">
        <v>514</v>
      </c>
      <c r="C196" t="s">
        <v>515</v>
      </c>
      <c r="D196" t="s">
        <v>508</v>
      </c>
      <c r="E196" t="s">
        <v>516</v>
      </c>
      <c r="F196">
        <v>2.61</v>
      </c>
      <c r="G196" t="s">
        <v>510</v>
      </c>
      <c r="H196" t="s">
        <v>14</v>
      </c>
      <c r="I196" s="26"/>
    </row>
    <row r="197" spans="1:9" x14ac:dyDescent="0.2">
      <c r="A197">
        <v>182</v>
      </c>
      <c r="B197" t="s">
        <v>517</v>
      </c>
      <c r="C197" t="s">
        <v>518</v>
      </c>
      <c r="D197" t="s">
        <v>508</v>
      </c>
      <c r="E197" t="s">
        <v>519</v>
      </c>
      <c r="F197">
        <v>2.61</v>
      </c>
      <c r="G197" t="s">
        <v>510</v>
      </c>
      <c r="H197" t="s">
        <v>14</v>
      </c>
      <c r="I197" s="26">
        <v>42339</v>
      </c>
    </row>
    <row r="198" spans="1:9" x14ac:dyDescent="0.2">
      <c r="A198">
        <v>183</v>
      </c>
      <c r="B198" t="s">
        <v>520</v>
      </c>
      <c r="C198" t="s">
        <v>521</v>
      </c>
      <c r="D198" t="s">
        <v>508</v>
      </c>
      <c r="E198" t="s">
        <v>522</v>
      </c>
      <c r="F198">
        <v>2.61</v>
      </c>
      <c r="G198" t="s">
        <v>510</v>
      </c>
      <c r="H198" t="s">
        <v>14</v>
      </c>
      <c r="I198" s="26">
        <v>42339</v>
      </c>
    </row>
    <row r="199" spans="1:9" x14ac:dyDescent="0.2">
      <c r="A199">
        <v>184</v>
      </c>
      <c r="B199" t="s">
        <v>523</v>
      </c>
      <c r="C199" t="s">
        <v>524</v>
      </c>
      <c r="D199" t="s">
        <v>508</v>
      </c>
      <c r="E199" t="s">
        <v>525</v>
      </c>
      <c r="F199">
        <v>2.61</v>
      </c>
      <c r="G199" t="s">
        <v>510</v>
      </c>
      <c r="H199" t="s">
        <v>14</v>
      </c>
      <c r="I199" s="26">
        <v>42289</v>
      </c>
    </row>
    <row r="200" spans="1:9" x14ac:dyDescent="0.2">
      <c r="A200">
        <v>185</v>
      </c>
      <c r="B200" t="s">
        <v>526</v>
      </c>
      <c r="C200" t="s">
        <v>527</v>
      </c>
      <c r="D200" t="s">
        <v>508</v>
      </c>
      <c r="E200" t="s">
        <v>528</v>
      </c>
      <c r="F200">
        <v>2.61</v>
      </c>
      <c r="G200" t="s">
        <v>510</v>
      </c>
      <c r="H200" t="s">
        <v>14</v>
      </c>
      <c r="I200" s="26">
        <v>42289</v>
      </c>
    </row>
    <row r="201" spans="1:9" x14ac:dyDescent="0.2">
      <c r="A201">
        <v>186</v>
      </c>
      <c r="B201" t="s">
        <v>529</v>
      </c>
      <c r="C201" t="s">
        <v>530</v>
      </c>
      <c r="D201" t="s">
        <v>508</v>
      </c>
      <c r="E201" t="s">
        <v>531</v>
      </c>
      <c r="F201">
        <v>26.71</v>
      </c>
      <c r="G201" t="s">
        <v>510</v>
      </c>
      <c r="H201" t="s">
        <v>14</v>
      </c>
      <c r="I201" s="26">
        <v>42339</v>
      </c>
    </row>
    <row r="202" spans="1:9" x14ac:dyDescent="0.2">
      <c r="A202">
        <v>187</v>
      </c>
      <c r="B202" t="s">
        <v>532</v>
      </c>
      <c r="C202" t="s">
        <v>533</v>
      </c>
      <c r="D202" t="s">
        <v>508</v>
      </c>
      <c r="E202" t="s">
        <v>534</v>
      </c>
      <c r="F202">
        <v>24.18</v>
      </c>
      <c r="G202" t="s">
        <v>510</v>
      </c>
      <c r="H202" t="s">
        <v>14</v>
      </c>
      <c r="I202" s="26">
        <v>42339</v>
      </c>
    </row>
    <row r="203" spans="1:9" x14ac:dyDescent="0.2">
      <c r="A203">
        <v>188</v>
      </c>
      <c r="B203" t="s">
        <v>535</v>
      </c>
      <c r="C203" t="s">
        <v>536</v>
      </c>
      <c r="D203" t="s">
        <v>537</v>
      </c>
      <c r="E203" t="s">
        <v>538</v>
      </c>
      <c r="F203">
        <v>48.76</v>
      </c>
      <c r="G203" t="s">
        <v>539</v>
      </c>
      <c r="H203" t="s">
        <v>14</v>
      </c>
      <c r="I203" s="26">
        <v>43185</v>
      </c>
    </row>
    <row r="204" spans="1:9" x14ac:dyDescent="0.2">
      <c r="A204">
        <v>189</v>
      </c>
      <c r="B204" t="s">
        <v>540</v>
      </c>
      <c r="C204" t="s">
        <v>541</v>
      </c>
      <c r="D204" t="s">
        <v>537</v>
      </c>
      <c r="E204" t="s">
        <v>542</v>
      </c>
      <c r="F204">
        <v>65.599999999999994</v>
      </c>
      <c r="G204" t="s">
        <v>539</v>
      </c>
      <c r="H204" t="s">
        <v>14</v>
      </c>
      <c r="I204" s="26"/>
    </row>
    <row r="205" spans="1:9" x14ac:dyDescent="0.2">
      <c r="A205">
        <v>190</v>
      </c>
      <c r="B205" t="s">
        <v>543</v>
      </c>
      <c r="C205" t="s">
        <v>544</v>
      </c>
      <c r="D205" t="s">
        <v>537</v>
      </c>
      <c r="E205" t="s">
        <v>545</v>
      </c>
      <c r="F205">
        <v>111.93</v>
      </c>
      <c r="G205" t="s">
        <v>539</v>
      </c>
      <c r="H205" t="s">
        <v>14</v>
      </c>
      <c r="I205" s="26"/>
    </row>
    <row r="206" spans="1:9" x14ac:dyDescent="0.2">
      <c r="A206">
        <v>191</v>
      </c>
      <c r="B206" t="s">
        <v>546</v>
      </c>
      <c r="C206" t="s">
        <v>547</v>
      </c>
      <c r="D206" t="s">
        <v>537</v>
      </c>
      <c r="E206" t="s">
        <v>548</v>
      </c>
      <c r="F206">
        <v>154.31</v>
      </c>
      <c r="G206" t="s">
        <v>539</v>
      </c>
      <c r="H206" t="s">
        <v>14</v>
      </c>
      <c r="I206" s="26"/>
    </row>
    <row r="207" spans="1:9" x14ac:dyDescent="0.2">
      <c r="A207">
        <v>192</v>
      </c>
      <c r="B207" t="s">
        <v>549</v>
      </c>
      <c r="C207" t="s">
        <v>550</v>
      </c>
      <c r="D207" t="s">
        <v>537</v>
      </c>
      <c r="E207" t="s">
        <v>551</v>
      </c>
      <c r="F207">
        <v>311.25</v>
      </c>
      <c r="G207" t="s">
        <v>539</v>
      </c>
      <c r="H207" t="s">
        <v>14</v>
      </c>
      <c r="I207" s="26"/>
    </row>
    <row r="208" spans="1:9" x14ac:dyDescent="0.2">
      <c r="A208">
        <v>193</v>
      </c>
      <c r="B208" t="s">
        <v>552</v>
      </c>
      <c r="C208" t="s">
        <v>553</v>
      </c>
      <c r="D208" t="s">
        <v>131</v>
      </c>
      <c r="E208" t="s">
        <v>554</v>
      </c>
      <c r="F208">
        <v>934</v>
      </c>
      <c r="G208" t="s">
        <v>133</v>
      </c>
      <c r="H208" t="s">
        <v>14</v>
      </c>
      <c r="I208" s="26"/>
    </row>
    <row r="209" spans="1:9" x14ac:dyDescent="0.2">
      <c r="A209">
        <v>194</v>
      </c>
      <c r="B209" t="s">
        <v>555</v>
      </c>
      <c r="C209" t="s">
        <v>556</v>
      </c>
      <c r="D209" t="s">
        <v>123</v>
      </c>
      <c r="E209" t="s">
        <v>557</v>
      </c>
      <c r="F209">
        <v>1089.3</v>
      </c>
      <c r="G209" t="s">
        <v>125</v>
      </c>
      <c r="H209" t="s">
        <v>14</v>
      </c>
      <c r="I209" s="26">
        <v>43026</v>
      </c>
    </row>
    <row r="210" spans="1:9" x14ac:dyDescent="0.2">
      <c r="A210">
        <v>195</v>
      </c>
      <c r="B210" t="s">
        <v>558</v>
      </c>
      <c r="C210" t="s">
        <v>559</v>
      </c>
      <c r="D210" t="s">
        <v>415</v>
      </c>
      <c r="E210" t="s">
        <v>560</v>
      </c>
      <c r="F210">
        <v>1035.98</v>
      </c>
      <c r="G210" t="s">
        <v>417</v>
      </c>
      <c r="H210" t="s">
        <v>561</v>
      </c>
      <c r="I210" s="26">
        <v>42290</v>
      </c>
    </row>
    <row r="211" spans="1:9" x14ac:dyDescent="0.2">
      <c r="A211">
        <v>196</v>
      </c>
      <c r="B211" t="s">
        <v>562</v>
      </c>
      <c r="C211" t="s">
        <v>563</v>
      </c>
      <c r="D211" t="s">
        <v>537</v>
      </c>
      <c r="E211" t="s">
        <v>564</v>
      </c>
      <c r="F211">
        <v>85.34</v>
      </c>
      <c r="G211" t="s">
        <v>539</v>
      </c>
      <c r="H211" t="s">
        <v>14</v>
      </c>
      <c r="I211" s="26"/>
    </row>
    <row r="212" spans="1:9" x14ac:dyDescent="0.2">
      <c r="A212">
        <v>197</v>
      </c>
      <c r="B212" t="s">
        <v>565</v>
      </c>
      <c r="C212" t="s">
        <v>566</v>
      </c>
      <c r="D212" t="s">
        <v>537</v>
      </c>
      <c r="E212" t="s">
        <v>567</v>
      </c>
      <c r="F212">
        <v>136.11000000000001</v>
      </c>
      <c r="G212" t="s">
        <v>539</v>
      </c>
      <c r="H212" t="s">
        <v>14</v>
      </c>
      <c r="I212" s="26"/>
    </row>
    <row r="213" spans="1:9" x14ac:dyDescent="0.2">
      <c r="A213">
        <v>198</v>
      </c>
      <c r="B213" t="s">
        <v>568</v>
      </c>
      <c r="C213" t="s">
        <v>569</v>
      </c>
      <c r="D213" t="s">
        <v>537</v>
      </c>
      <c r="E213" t="s">
        <v>570</v>
      </c>
      <c r="F213">
        <v>91.11</v>
      </c>
      <c r="G213" t="s">
        <v>539</v>
      </c>
      <c r="H213" t="s">
        <v>14</v>
      </c>
      <c r="I213" s="26"/>
    </row>
    <row r="214" spans="1:9" x14ac:dyDescent="0.2">
      <c r="A214">
        <v>199</v>
      </c>
      <c r="B214" t="s">
        <v>571</v>
      </c>
      <c r="C214" t="s">
        <v>572</v>
      </c>
      <c r="D214" t="s">
        <v>816</v>
      </c>
      <c r="E214" t="s">
        <v>4582</v>
      </c>
      <c r="F214">
        <v>446</v>
      </c>
      <c r="G214" t="s">
        <v>818</v>
      </c>
      <c r="H214" t="s">
        <v>14</v>
      </c>
      <c r="I214" s="26">
        <v>43265</v>
      </c>
    </row>
    <row r="215" spans="1:9" x14ac:dyDescent="0.2">
      <c r="A215">
        <v>200</v>
      </c>
      <c r="B215" t="s">
        <v>575</v>
      </c>
      <c r="C215" t="s">
        <v>576</v>
      </c>
      <c r="D215" t="s">
        <v>537</v>
      </c>
      <c r="E215" t="s">
        <v>577</v>
      </c>
      <c r="F215">
        <v>234.6352</v>
      </c>
      <c r="G215" t="s">
        <v>539</v>
      </c>
      <c r="H215" t="s">
        <v>14</v>
      </c>
      <c r="I215" s="26">
        <v>42339</v>
      </c>
    </row>
    <row r="216" spans="1:9" x14ac:dyDescent="0.2">
      <c r="A216">
        <v>201</v>
      </c>
      <c r="B216" t="s">
        <v>578</v>
      </c>
      <c r="C216" t="s">
        <v>579</v>
      </c>
      <c r="D216" t="s">
        <v>580</v>
      </c>
      <c r="E216" t="s">
        <v>581</v>
      </c>
      <c r="F216">
        <v>3.88</v>
      </c>
      <c r="G216" t="s">
        <v>582</v>
      </c>
      <c r="H216" t="s">
        <v>14</v>
      </c>
      <c r="I216" s="26"/>
    </row>
    <row r="217" spans="1:9" x14ac:dyDescent="0.2">
      <c r="A217">
        <v>202</v>
      </c>
      <c r="B217" t="s">
        <v>583</v>
      </c>
      <c r="C217" t="s">
        <v>584</v>
      </c>
      <c r="D217" t="s">
        <v>580</v>
      </c>
      <c r="E217" t="s">
        <v>585</v>
      </c>
      <c r="F217">
        <v>4.6500000000000004</v>
      </c>
      <c r="G217" t="s">
        <v>582</v>
      </c>
      <c r="H217" t="s">
        <v>14</v>
      </c>
      <c r="I217" s="26"/>
    </row>
    <row r="218" spans="1:9" x14ac:dyDescent="0.2">
      <c r="A218">
        <v>203</v>
      </c>
      <c r="B218" t="s">
        <v>586</v>
      </c>
      <c r="C218" t="s">
        <v>587</v>
      </c>
      <c r="D218" t="s">
        <v>580</v>
      </c>
      <c r="E218" t="s">
        <v>588</v>
      </c>
      <c r="F218">
        <v>5</v>
      </c>
      <c r="G218" t="s">
        <v>582</v>
      </c>
      <c r="H218" t="s">
        <v>14</v>
      </c>
      <c r="I218" s="26"/>
    </row>
    <row r="219" spans="1:9" x14ac:dyDescent="0.2">
      <c r="A219">
        <v>204</v>
      </c>
      <c r="B219" t="s">
        <v>589</v>
      </c>
      <c r="C219" t="s">
        <v>590</v>
      </c>
      <c r="D219" t="s">
        <v>580</v>
      </c>
      <c r="E219" t="s">
        <v>591</v>
      </c>
      <c r="F219">
        <v>5</v>
      </c>
      <c r="G219" t="s">
        <v>582</v>
      </c>
      <c r="H219" t="s">
        <v>14</v>
      </c>
      <c r="I219" s="26"/>
    </row>
    <row r="220" spans="1:9" x14ac:dyDescent="0.2">
      <c r="A220">
        <v>205</v>
      </c>
      <c r="B220" t="s">
        <v>592</v>
      </c>
      <c r="C220" t="s">
        <v>593</v>
      </c>
      <c r="D220" t="s">
        <v>580</v>
      </c>
      <c r="E220" t="s">
        <v>594</v>
      </c>
      <c r="F220">
        <v>5.97</v>
      </c>
      <c r="G220" t="s">
        <v>582</v>
      </c>
      <c r="H220" t="s">
        <v>14</v>
      </c>
      <c r="I220" s="26"/>
    </row>
    <row r="221" spans="1:9" x14ac:dyDescent="0.2">
      <c r="A221">
        <v>206</v>
      </c>
      <c r="B221" t="s">
        <v>595</v>
      </c>
      <c r="C221" t="s">
        <v>596</v>
      </c>
      <c r="D221" t="s">
        <v>580</v>
      </c>
      <c r="E221" t="s">
        <v>597</v>
      </c>
      <c r="F221">
        <v>3.5</v>
      </c>
      <c r="G221" t="s">
        <v>582</v>
      </c>
      <c r="H221" t="s">
        <v>14</v>
      </c>
      <c r="I221" s="26"/>
    </row>
    <row r="222" spans="1:9" x14ac:dyDescent="0.2">
      <c r="A222">
        <v>207</v>
      </c>
      <c r="B222" t="s">
        <v>598</v>
      </c>
      <c r="C222" t="s">
        <v>599</v>
      </c>
      <c r="D222" t="s">
        <v>580</v>
      </c>
      <c r="E222" t="s">
        <v>600</v>
      </c>
      <c r="F222">
        <v>4.4800000000000004</v>
      </c>
      <c r="G222" t="s">
        <v>582</v>
      </c>
      <c r="H222" t="s">
        <v>14</v>
      </c>
      <c r="I222" s="26"/>
    </row>
    <row r="223" spans="1:9" x14ac:dyDescent="0.2">
      <c r="A223">
        <v>208</v>
      </c>
      <c r="B223" t="s">
        <v>601</v>
      </c>
      <c r="C223" t="s">
        <v>602</v>
      </c>
      <c r="D223" t="s">
        <v>580</v>
      </c>
      <c r="E223" t="s">
        <v>603</v>
      </c>
      <c r="F223">
        <v>3.53</v>
      </c>
      <c r="G223" t="s">
        <v>582</v>
      </c>
      <c r="H223" t="s">
        <v>14</v>
      </c>
      <c r="I223" s="26"/>
    </row>
    <row r="224" spans="1:9" x14ac:dyDescent="0.2">
      <c r="A224">
        <v>209</v>
      </c>
      <c r="B224" t="s">
        <v>604</v>
      </c>
      <c r="C224" t="s">
        <v>605</v>
      </c>
      <c r="D224" t="s">
        <v>35</v>
      </c>
      <c r="E224" t="s">
        <v>606</v>
      </c>
      <c r="F224">
        <v>240.25</v>
      </c>
      <c r="G224" t="s">
        <v>37</v>
      </c>
      <c r="H224" t="s">
        <v>14</v>
      </c>
      <c r="I224" s="26"/>
    </row>
    <row r="225" spans="1:9" x14ac:dyDescent="0.2">
      <c r="A225">
        <v>210</v>
      </c>
      <c r="B225" t="s">
        <v>607</v>
      </c>
      <c r="C225" t="s">
        <v>608</v>
      </c>
      <c r="D225" t="s">
        <v>4558</v>
      </c>
      <c r="E225" t="s">
        <v>609</v>
      </c>
      <c r="F225">
        <v>1084.05</v>
      </c>
      <c r="G225" t="s">
        <v>610</v>
      </c>
      <c r="H225" t="s">
        <v>14</v>
      </c>
      <c r="I225" s="26"/>
    </row>
    <row r="226" spans="1:9" x14ac:dyDescent="0.2">
      <c r="A226">
        <v>211</v>
      </c>
      <c r="B226" t="s">
        <v>611</v>
      </c>
      <c r="C226" t="s">
        <v>612</v>
      </c>
      <c r="D226" t="s">
        <v>40</v>
      </c>
      <c r="E226" t="s">
        <v>613</v>
      </c>
      <c r="F226">
        <v>1131.5999999999999</v>
      </c>
      <c r="G226" t="s">
        <v>42</v>
      </c>
      <c r="H226" t="s">
        <v>14</v>
      </c>
      <c r="I226" s="26"/>
    </row>
    <row r="227" spans="1:9" x14ac:dyDescent="0.2">
      <c r="A227">
        <v>212</v>
      </c>
      <c r="B227" t="s">
        <v>614</v>
      </c>
      <c r="C227" t="s">
        <v>615</v>
      </c>
      <c r="D227" t="s">
        <v>40</v>
      </c>
      <c r="E227" t="s">
        <v>616</v>
      </c>
      <c r="F227">
        <v>4202.1000000000004</v>
      </c>
      <c r="G227" t="s">
        <v>42</v>
      </c>
      <c r="H227" t="s">
        <v>14</v>
      </c>
      <c r="I227" s="26">
        <v>42410</v>
      </c>
    </row>
    <row r="228" spans="1:9" x14ac:dyDescent="0.2">
      <c r="A228">
        <v>213</v>
      </c>
      <c r="B228" t="s">
        <v>617</v>
      </c>
      <c r="C228" t="s">
        <v>618</v>
      </c>
      <c r="D228" t="s">
        <v>40</v>
      </c>
      <c r="E228" t="s">
        <v>619</v>
      </c>
      <c r="F228">
        <v>0</v>
      </c>
      <c r="G228" t="s">
        <v>42</v>
      </c>
      <c r="H228" t="s">
        <v>14</v>
      </c>
      <c r="I228" s="26"/>
    </row>
    <row r="229" spans="1:9" x14ac:dyDescent="0.2">
      <c r="A229">
        <v>214</v>
      </c>
      <c r="B229" t="s">
        <v>620</v>
      </c>
      <c r="C229" t="s">
        <v>621</v>
      </c>
      <c r="D229" t="s">
        <v>40</v>
      </c>
      <c r="E229" t="s">
        <v>622</v>
      </c>
      <c r="F229">
        <v>0</v>
      </c>
      <c r="G229" t="s">
        <v>42</v>
      </c>
      <c r="H229" t="s">
        <v>14</v>
      </c>
      <c r="I229" s="26"/>
    </row>
    <row r="230" spans="1:9" x14ac:dyDescent="0.2">
      <c r="A230">
        <v>215</v>
      </c>
      <c r="B230" t="s">
        <v>623</v>
      </c>
      <c r="C230" t="s">
        <v>624</v>
      </c>
      <c r="D230" t="s">
        <v>40</v>
      </c>
      <c r="E230" t="s">
        <v>625</v>
      </c>
      <c r="F230">
        <v>0</v>
      </c>
      <c r="G230" t="s">
        <v>42</v>
      </c>
      <c r="H230" t="s">
        <v>14</v>
      </c>
      <c r="I230" s="26"/>
    </row>
    <row r="231" spans="1:9" x14ac:dyDescent="0.2">
      <c r="A231">
        <v>216</v>
      </c>
      <c r="B231" t="s">
        <v>626</v>
      </c>
      <c r="C231" t="s">
        <v>627</v>
      </c>
      <c r="D231" t="s">
        <v>40</v>
      </c>
      <c r="E231" t="s">
        <v>622</v>
      </c>
      <c r="F231">
        <v>0</v>
      </c>
      <c r="G231" t="s">
        <v>42</v>
      </c>
      <c r="H231" t="s">
        <v>14</v>
      </c>
      <c r="I231" s="26"/>
    </row>
    <row r="232" spans="1:9" x14ac:dyDescent="0.2">
      <c r="A232">
        <v>217</v>
      </c>
      <c r="B232" t="s">
        <v>628</v>
      </c>
      <c r="C232" t="s">
        <v>624</v>
      </c>
      <c r="D232" t="s">
        <v>40</v>
      </c>
      <c r="E232" t="s">
        <v>625</v>
      </c>
      <c r="F232">
        <v>0</v>
      </c>
      <c r="G232" t="s">
        <v>42</v>
      </c>
      <c r="H232" t="s">
        <v>14</v>
      </c>
      <c r="I232" s="26"/>
    </row>
    <row r="233" spans="1:9" x14ac:dyDescent="0.2">
      <c r="A233">
        <v>218</v>
      </c>
      <c r="B233" t="s">
        <v>629</v>
      </c>
      <c r="C233" t="s">
        <v>618</v>
      </c>
      <c r="D233" t="s">
        <v>40</v>
      </c>
      <c r="E233" t="s">
        <v>619</v>
      </c>
      <c r="F233">
        <v>0</v>
      </c>
      <c r="G233" t="s">
        <v>42</v>
      </c>
      <c r="H233" t="s">
        <v>14</v>
      </c>
      <c r="I233" s="26"/>
    </row>
    <row r="234" spans="1:9" x14ac:dyDescent="0.2">
      <c r="A234">
        <v>219</v>
      </c>
      <c r="B234" t="s">
        <v>630</v>
      </c>
      <c r="C234" t="s">
        <v>631</v>
      </c>
      <c r="D234" t="s">
        <v>40</v>
      </c>
      <c r="E234" t="s">
        <v>632</v>
      </c>
      <c r="F234">
        <v>0</v>
      </c>
      <c r="G234" t="s">
        <v>42</v>
      </c>
      <c r="H234" t="s">
        <v>14</v>
      </c>
      <c r="I234" s="26"/>
    </row>
    <row r="235" spans="1:9" x14ac:dyDescent="0.2">
      <c r="A235">
        <v>220</v>
      </c>
      <c r="B235" t="s">
        <v>633</v>
      </c>
      <c r="C235" t="s">
        <v>634</v>
      </c>
      <c r="D235" t="s">
        <v>40</v>
      </c>
      <c r="E235" t="s">
        <v>635</v>
      </c>
      <c r="F235">
        <v>2355.5300000000002</v>
      </c>
      <c r="G235" t="s">
        <v>42</v>
      </c>
      <c r="H235" t="s">
        <v>14</v>
      </c>
      <c r="I235" s="26"/>
    </row>
    <row r="236" spans="1:9" x14ac:dyDescent="0.2">
      <c r="A236">
        <v>221</v>
      </c>
      <c r="B236" t="s">
        <v>636</v>
      </c>
      <c r="C236" t="s">
        <v>637</v>
      </c>
      <c r="D236" t="s">
        <v>40</v>
      </c>
      <c r="E236" t="s">
        <v>638</v>
      </c>
      <c r="F236">
        <v>4069.56</v>
      </c>
      <c r="G236" t="s">
        <v>42</v>
      </c>
      <c r="H236" t="s">
        <v>14</v>
      </c>
      <c r="I236" s="26"/>
    </row>
    <row r="237" spans="1:9" x14ac:dyDescent="0.2">
      <c r="A237">
        <v>222</v>
      </c>
      <c r="B237" t="s">
        <v>639</v>
      </c>
      <c r="C237" t="s">
        <v>640</v>
      </c>
      <c r="D237" t="s">
        <v>40</v>
      </c>
      <c r="E237" t="s">
        <v>641</v>
      </c>
      <c r="F237">
        <v>0</v>
      </c>
      <c r="G237" t="s">
        <v>42</v>
      </c>
      <c r="H237" t="s">
        <v>14</v>
      </c>
      <c r="I237" s="26">
        <v>43209</v>
      </c>
    </row>
    <row r="238" spans="1:9" x14ac:dyDescent="0.2">
      <c r="A238">
        <v>223</v>
      </c>
      <c r="B238" t="s">
        <v>642</v>
      </c>
      <c r="C238" t="s">
        <v>643</v>
      </c>
      <c r="D238" t="s">
        <v>40</v>
      </c>
      <c r="E238" t="s">
        <v>625</v>
      </c>
      <c r="F238">
        <v>0</v>
      </c>
      <c r="G238" t="s">
        <v>42</v>
      </c>
      <c r="H238" t="s">
        <v>14</v>
      </c>
      <c r="I238" s="26">
        <v>43209</v>
      </c>
    </row>
    <row r="239" spans="1:9" x14ac:dyDescent="0.2">
      <c r="A239">
        <v>224</v>
      </c>
      <c r="B239" t="s">
        <v>644</v>
      </c>
      <c r="C239" t="s">
        <v>645</v>
      </c>
      <c r="D239" t="s">
        <v>40</v>
      </c>
      <c r="E239" t="s">
        <v>619</v>
      </c>
      <c r="F239">
        <v>0</v>
      </c>
      <c r="G239" t="s">
        <v>42</v>
      </c>
      <c r="H239" t="s">
        <v>14</v>
      </c>
      <c r="I239" s="26">
        <v>43209</v>
      </c>
    </row>
    <row r="240" spans="1:9" x14ac:dyDescent="0.2">
      <c r="A240">
        <v>225</v>
      </c>
      <c r="B240" t="s">
        <v>646</v>
      </c>
      <c r="C240" t="s">
        <v>643</v>
      </c>
      <c r="D240" t="s">
        <v>40</v>
      </c>
      <c r="E240" t="s">
        <v>625</v>
      </c>
      <c r="G240" t="s">
        <v>42</v>
      </c>
      <c r="H240" t="s">
        <v>14</v>
      </c>
      <c r="I240" s="26">
        <v>42291</v>
      </c>
    </row>
    <row r="241" spans="1:9" x14ac:dyDescent="0.2">
      <c r="A241">
        <v>226</v>
      </c>
      <c r="B241" t="s">
        <v>647</v>
      </c>
      <c r="C241" t="s">
        <v>621</v>
      </c>
      <c r="D241" t="s">
        <v>40</v>
      </c>
      <c r="E241" t="s">
        <v>641</v>
      </c>
      <c r="F241">
        <v>0</v>
      </c>
      <c r="G241" t="s">
        <v>42</v>
      </c>
      <c r="H241" t="s">
        <v>14</v>
      </c>
      <c r="I241" s="26">
        <v>42293</v>
      </c>
    </row>
    <row r="242" spans="1:9" x14ac:dyDescent="0.2">
      <c r="A242">
        <v>227</v>
      </c>
      <c r="B242" t="s">
        <v>648</v>
      </c>
      <c r="C242" t="s">
        <v>271</v>
      </c>
      <c r="D242" t="s">
        <v>40</v>
      </c>
      <c r="E242" t="s">
        <v>619</v>
      </c>
      <c r="G242" t="s">
        <v>42</v>
      </c>
      <c r="H242" t="s">
        <v>14</v>
      </c>
      <c r="I242" s="26">
        <v>42291</v>
      </c>
    </row>
    <row r="243" spans="1:9" x14ac:dyDescent="0.2">
      <c r="A243">
        <v>228</v>
      </c>
      <c r="B243" t="s">
        <v>649</v>
      </c>
      <c r="C243" t="s">
        <v>643</v>
      </c>
      <c r="D243" t="s">
        <v>40</v>
      </c>
      <c r="E243" t="s">
        <v>625</v>
      </c>
      <c r="F243">
        <v>0</v>
      </c>
      <c r="G243" t="s">
        <v>42</v>
      </c>
      <c r="H243" t="s">
        <v>14</v>
      </c>
      <c r="I243" s="26">
        <v>42291</v>
      </c>
    </row>
    <row r="244" spans="1:9" x14ac:dyDescent="0.2">
      <c r="A244">
        <v>229</v>
      </c>
      <c r="B244" t="s">
        <v>650</v>
      </c>
      <c r="C244" t="s">
        <v>627</v>
      </c>
      <c r="D244" t="s">
        <v>40</v>
      </c>
      <c r="E244" t="s">
        <v>641</v>
      </c>
      <c r="F244">
        <v>0</v>
      </c>
      <c r="G244" t="s">
        <v>42</v>
      </c>
      <c r="H244" t="s">
        <v>14</v>
      </c>
      <c r="I244" s="26">
        <v>42293</v>
      </c>
    </row>
    <row r="245" spans="1:9" x14ac:dyDescent="0.2">
      <c r="A245">
        <v>230</v>
      </c>
      <c r="B245" t="s">
        <v>651</v>
      </c>
      <c r="C245" t="s">
        <v>271</v>
      </c>
      <c r="D245" t="s">
        <v>40</v>
      </c>
      <c r="E245" t="s">
        <v>619</v>
      </c>
      <c r="F245">
        <v>0</v>
      </c>
      <c r="G245" t="s">
        <v>42</v>
      </c>
      <c r="H245" t="s">
        <v>14</v>
      </c>
      <c r="I245" s="26">
        <v>42291</v>
      </c>
    </row>
    <row r="246" spans="1:9" x14ac:dyDescent="0.2">
      <c r="A246">
        <v>231</v>
      </c>
      <c r="B246" t="s">
        <v>652</v>
      </c>
      <c r="C246" t="s">
        <v>653</v>
      </c>
      <c r="D246" t="s">
        <v>40</v>
      </c>
      <c r="E246" t="s">
        <v>654</v>
      </c>
      <c r="F246">
        <v>1260.1600000000001</v>
      </c>
      <c r="G246" t="s">
        <v>42</v>
      </c>
      <c r="H246" t="s">
        <v>14</v>
      </c>
      <c r="I246" s="26"/>
    </row>
    <row r="247" spans="1:9" x14ac:dyDescent="0.2">
      <c r="A247">
        <v>232</v>
      </c>
      <c r="B247" t="s">
        <v>655</v>
      </c>
      <c r="C247" t="s">
        <v>656</v>
      </c>
      <c r="D247" t="s">
        <v>415</v>
      </c>
      <c r="E247" t="s">
        <v>657</v>
      </c>
      <c r="F247">
        <v>3350</v>
      </c>
      <c r="G247" t="s">
        <v>417</v>
      </c>
      <c r="H247" t="s">
        <v>14</v>
      </c>
      <c r="I247" s="26"/>
    </row>
    <row r="248" spans="1:9" x14ac:dyDescent="0.2">
      <c r="A248">
        <v>233</v>
      </c>
      <c r="B248" t="s">
        <v>658</v>
      </c>
      <c r="C248" t="s">
        <v>218</v>
      </c>
      <c r="D248" t="s">
        <v>415</v>
      </c>
      <c r="E248" t="s">
        <v>659</v>
      </c>
      <c r="G248" t="s">
        <v>417</v>
      </c>
      <c r="H248" t="s">
        <v>14</v>
      </c>
      <c r="I248" s="26"/>
    </row>
    <row r="249" spans="1:9" x14ac:dyDescent="0.2">
      <c r="A249">
        <v>234</v>
      </c>
      <c r="B249" t="s">
        <v>660</v>
      </c>
      <c r="C249" t="s">
        <v>661</v>
      </c>
      <c r="D249" t="s">
        <v>415</v>
      </c>
      <c r="E249" t="s">
        <v>659</v>
      </c>
      <c r="G249" t="s">
        <v>417</v>
      </c>
      <c r="H249" t="s">
        <v>14</v>
      </c>
      <c r="I249" s="26"/>
    </row>
    <row r="250" spans="1:9" x14ac:dyDescent="0.2">
      <c r="A250">
        <v>235</v>
      </c>
      <c r="B250" t="s">
        <v>662</v>
      </c>
      <c r="C250" t="s">
        <v>663</v>
      </c>
      <c r="D250" t="s">
        <v>415</v>
      </c>
      <c r="E250" t="s">
        <v>664</v>
      </c>
      <c r="F250">
        <v>3584</v>
      </c>
      <c r="G250" t="s">
        <v>417</v>
      </c>
      <c r="H250" t="s">
        <v>14</v>
      </c>
      <c r="I250" s="26"/>
    </row>
    <row r="251" spans="1:9" x14ac:dyDescent="0.2">
      <c r="A251">
        <v>236</v>
      </c>
      <c r="B251" t="s">
        <v>665</v>
      </c>
      <c r="C251" t="s">
        <v>666</v>
      </c>
      <c r="D251" t="s">
        <v>415</v>
      </c>
      <c r="E251" t="s">
        <v>667</v>
      </c>
      <c r="F251">
        <v>4238</v>
      </c>
      <c r="G251" t="s">
        <v>417</v>
      </c>
      <c r="H251" t="s">
        <v>14</v>
      </c>
      <c r="I251" s="26"/>
    </row>
    <row r="252" spans="1:9" x14ac:dyDescent="0.2">
      <c r="A252">
        <v>237</v>
      </c>
      <c r="B252" t="s">
        <v>668</v>
      </c>
      <c r="C252" t="s">
        <v>271</v>
      </c>
      <c r="D252" t="s">
        <v>415</v>
      </c>
      <c r="E252" t="s">
        <v>669</v>
      </c>
      <c r="F252">
        <v>0</v>
      </c>
      <c r="G252" t="s">
        <v>417</v>
      </c>
      <c r="H252" t="s">
        <v>14</v>
      </c>
      <c r="I252" s="26">
        <v>42549</v>
      </c>
    </row>
    <row r="253" spans="1:9" x14ac:dyDescent="0.2">
      <c r="A253">
        <v>238</v>
      </c>
      <c r="B253" t="s">
        <v>670</v>
      </c>
      <c r="C253" t="s">
        <v>218</v>
      </c>
      <c r="D253" t="s">
        <v>415</v>
      </c>
      <c r="E253" t="s">
        <v>669</v>
      </c>
      <c r="F253">
        <v>0</v>
      </c>
      <c r="G253" t="s">
        <v>417</v>
      </c>
      <c r="H253" t="s">
        <v>14</v>
      </c>
      <c r="I253" s="26">
        <v>42549</v>
      </c>
    </row>
    <row r="254" spans="1:9" x14ac:dyDescent="0.2">
      <c r="A254">
        <v>239</v>
      </c>
      <c r="B254" t="s">
        <v>671</v>
      </c>
      <c r="C254" t="s">
        <v>672</v>
      </c>
      <c r="D254" t="s">
        <v>415</v>
      </c>
      <c r="E254" t="s">
        <v>673</v>
      </c>
      <c r="F254">
        <v>3874.98</v>
      </c>
      <c r="G254" t="s">
        <v>417</v>
      </c>
      <c r="H254" t="s">
        <v>14</v>
      </c>
      <c r="I254" s="26"/>
    </row>
    <row r="255" spans="1:9" x14ac:dyDescent="0.2">
      <c r="A255">
        <v>240</v>
      </c>
      <c r="B255" t="s">
        <v>674</v>
      </c>
      <c r="C255" t="s">
        <v>271</v>
      </c>
      <c r="D255" t="s">
        <v>415</v>
      </c>
      <c r="E255" t="s">
        <v>675</v>
      </c>
      <c r="F255">
        <v>0</v>
      </c>
      <c r="G255" t="s">
        <v>417</v>
      </c>
      <c r="H255" t="s">
        <v>14</v>
      </c>
      <c r="I255" s="26"/>
    </row>
    <row r="256" spans="1:9" x14ac:dyDescent="0.2">
      <c r="A256">
        <v>241</v>
      </c>
      <c r="B256" t="s">
        <v>676</v>
      </c>
      <c r="C256" t="s">
        <v>218</v>
      </c>
      <c r="D256" t="s">
        <v>415</v>
      </c>
      <c r="E256" t="s">
        <v>675</v>
      </c>
      <c r="F256">
        <v>0</v>
      </c>
      <c r="G256" t="s">
        <v>417</v>
      </c>
      <c r="H256" t="s">
        <v>14</v>
      </c>
      <c r="I256" s="26"/>
    </row>
    <row r="257" spans="1:9" x14ac:dyDescent="0.2">
      <c r="A257">
        <v>242</v>
      </c>
      <c r="B257" t="s">
        <v>677</v>
      </c>
      <c r="C257" t="s">
        <v>218</v>
      </c>
      <c r="D257" t="s">
        <v>415</v>
      </c>
      <c r="E257" t="s">
        <v>675</v>
      </c>
      <c r="F257">
        <v>0</v>
      </c>
      <c r="G257" t="s">
        <v>417</v>
      </c>
      <c r="H257" t="s">
        <v>14</v>
      </c>
      <c r="I257" s="26"/>
    </row>
    <row r="258" spans="1:9" x14ac:dyDescent="0.2">
      <c r="A258">
        <v>243</v>
      </c>
      <c r="B258" t="s">
        <v>678</v>
      </c>
      <c r="C258" t="s">
        <v>271</v>
      </c>
      <c r="D258" t="s">
        <v>415</v>
      </c>
      <c r="E258" t="s">
        <v>675</v>
      </c>
      <c r="F258">
        <v>0</v>
      </c>
      <c r="G258" t="s">
        <v>417</v>
      </c>
      <c r="H258" t="s">
        <v>14</v>
      </c>
      <c r="I258" s="26"/>
    </row>
    <row r="259" spans="1:9" x14ac:dyDescent="0.2">
      <c r="A259">
        <v>244</v>
      </c>
      <c r="B259" t="s">
        <v>679</v>
      </c>
      <c r="C259" t="s">
        <v>680</v>
      </c>
      <c r="D259" t="s">
        <v>508</v>
      </c>
      <c r="E259" t="s">
        <v>681</v>
      </c>
      <c r="F259">
        <v>5.41</v>
      </c>
      <c r="G259" t="s">
        <v>510</v>
      </c>
      <c r="H259" t="s">
        <v>14</v>
      </c>
      <c r="I259" s="26"/>
    </row>
    <row r="260" spans="1:9" x14ac:dyDescent="0.2">
      <c r="A260">
        <v>245</v>
      </c>
      <c r="B260" t="s">
        <v>682</v>
      </c>
      <c r="C260" t="s">
        <v>683</v>
      </c>
      <c r="D260" t="s">
        <v>491</v>
      </c>
      <c r="E260" t="s">
        <v>684</v>
      </c>
      <c r="F260">
        <v>51.8</v>
      </c>
      <c r="G260" t="s">
        <v>493</v>
      </c>
      <c r="H260" t="s">
        <v>14</v>
      </c>
      <c r="I260" s="26">
        <v>42290</v>
      </c>
    </row>
    <row r="261" spans="1:9" x14ac:dyDescent="0.2">
      <c r="A261">
        <v>246</v>
      </c>
      <c r="B261" t="s">
        <v>685</v>
      </c>
      <c r="C261" t="s">
        <v>686</v>
      </c>
      <c r="D261" t="s">
        <v>508</v>
      </c>
      <c r="E261" t="s">
        <v>687</v>
      </c>
      <c r="F261">
        <v>5.25</v>
      </c>
      <c r="G261" t="s">
        <v>510</v>
      </c>
      <c r="H261" t="s">
        <v>14</v>
      </c>
      <c r="I261" s="26">
        <v>43164</v>
      </c>
    </row>
    <row r="262" spans="1:9" x14ac:dyDescent="0.2">
      <c r="A262">
        <v>247</v>
      </c>
      <c r="B262" t="s">
        <v>685</v>
      </c>
      <c r="C262" t="s">
        <v>688</v>
      </c>
      <c r="D262" t="s">
        <v>508</v>
      </c>
      <c r="E262" t="s">
        <v>687</v>
      </c>
      <c r="F262">
        <v>5.25</v>
      </c>
      <c r="G262" t="s">
        <v>510</v>
      </c>
      <c r="H262" t="s">
        <v>14</v>
      </c>
      <c r="I262" s="26">
        <v>43185</v>
      </c>
    </row>
    <row r="263" spans="1:9" x14ac:dyDescent="0.2">
      <c r="A263">
        <v>248</v>
      </c>
      <c r="B263" t="s">
        <v>689</v>
      </c>
      <c r="C263" t="s">
        <v>690</v>
      </c>
      <c r="D263" t="s">
        <v>537</v>
      </c>
      <c r="E263" t="s">
        <v>691</v>
      </c>
      <c r="G263" t="s">
        <v>539</v>
      </c>
      <c r="H263" t="s">
        <v>14</v>
      </c>
      <c r="I263" s="26"/>
    </row>
    <row r="264" spans="1:9" x14ac:dyDescent="0.2">
      <c r="A264">
        <v>249</v>
      </c>
      <c r="B264" t="s">
        <v>692</v>
      </c>
      <c r="C264" t="s">
        <v>693</v>
      </c>
      <c r="D264" t="s">
        <v>537</v>
      </c>
      <c r="E264" t="s">
        <v>694</v>
      </c>
      <c r="F264">
        <v>28.13</v>
      </c>
      <c r="G264" t="s">
        <v>539</v>
      </c>
      <c r="H264" t="s">
        <v>14</v>
      </c>
      <c r="I264" s="26"/>
    </row>
    <row r="265" spans="1:9" x14ac:dyDescent="0.2">
      <c r="A265">
        <v>250</v>
      </c>
      <c r="B265" t="s">
        <v>695</v>
      </c>
      <c r="C265" t="s">
        <v>696</v>
      </c>
      <c r="D265" t="s">
        <v>508</v>
      </c>
      <c r="E265" t="s">
        <v>697</v>
      </c>
      <c r="F265">
        <v>7.08</v>
      </c>
      <c r="G265" t="s">
        <v>510</v>
      </c>
      <c r="H265" t="s">
        <v>14</v>
      </c>
      <c r="I265" s="26">
        <v>43171</v>
      </c>
    </row>
    <row r="266" spans="1:9" x14ac:dyDescent="0.2">
      <c r="A266">
        <v>251</v>
      </c>
      <c r="B266" t="s">
        <v>698</v>
      </c>
      <c r="C266" t="s">
        <v>699</v>
      </c>
      <c r="D266" t="s">
        <v>537</v>
      </c>
      <c r="E266" t="s">
        <v>700</v>
      </c>
      <c r="F266">
        <v>15.18</v>
      </c>
      <c r="G266" t="s">
        <v>539</v>
      </c>
      <c r="H266" t="s">
        <v>14</v>
      </c>
      <c r="I266" s="26"/>
    </row>
    <row r="267" spans="1:9" x14ac:dyDescent="0.2">
      <c r="A267">
        <v>252</v>
      </c>
      <c r="B267" t="s">
        <v>701</v>
      </c>
      <c r="C267" t="s">
        <v>702</v>
      </c>
      <c r="D267" t="s">
        <v>537</v>
      </c>
      <c r="E267" t="s">
        <v>703</v>
      </c>
      <c r="F267">
        <v>46.17</v>
      </c>
      <c r="G267" t="s">
        <v>539</v>
      </c>
      <c r="H267" t="s">
        <v>14</v>
      </c>
      <c r="I267" s="26"/>
    </row>
    <row r="268" spans="1:9" x14ac:dyDescent="0.2">
      <c r="A268">
        <v>253</v>
      </c>
      <c r="B268" t="s">
        <v>704</v>
      </c>
      <c r="C268" t="s">
        <v>705</v>
      </c>
      <c r="D268" t="s">
        <v>706</v>
      </c>
      <c r="E268" t="s">
        <v>707</v>
      </c>
      <c r="F268">
        <v>9.9774999999999991</v>
      </c>
      <c r="G268" t="s">
        <v>708</v>
      </c>
      <c r="H268" t="s">
        <v>14</v>
      </c>
      <c r="I268" s="26">
        <v>42305</v>
      </c>
    </row>
    <row r="269" spans="1:9" x14ac:dyDescent="0.2">
      <c r="A269">
        <v>254</v>
      </c>
      <c r="B269" t="s">
        <v>709</v>
      </c>
      <c r="C269" t="s">
        <v>710</v>
      </c>
      <c r="D269" t="s">
        <v>537</v>
      </c>
      <c r="E269" t="s">
        <v>711</v>
      </c>
      <c r="F269">
        <v>19.2</v>
      </c>
      <c r="G269" t="s">
        <v>539</v>
      </c>
      <c r="H269" t="s">
        <v>14</v>
      </c>
      <c r="I269" s="26">
        <v>42289</v>
      </c>
    </row>
    <row r="270" spans="1:9" x14ac:dyDescent="0.2">
      <c r="A270">
        <v>255</v>
      </c>
      <c r="B270" t="s">
        <v>712</v>
      </c>
      <c r="C270" t="s">
        <v>713</v>
      </c>
      <c r="D270" t="s">
        <v>60</v>
      </c>
      <c r="E270" t="s">
        <v>714</v>
      </c>
      <c r="F270">
        <v>40.33</v>
      </c>
      <c r="G270" t="s">
        <v>62</v>
      </c>
      <c r="H270" t="s">
        <v>14</v>
      </c>
      <c r="I270" s="26"/>
    </row>
    <row r="271" spans="1:9" x14ac:dyDescent="0.2">
      <c r="A271">
        <v>256</v>
      </c>
      <c r="B271" t="s">
        <v>715</v>
      </c>
      <c r="C271" t="s">
        <v>716</v>
      </c>
      <c r="D271" t="s">
        <v>706</v>
      </c>
      <c r="E271" t="s">
        <v>715</v>
      </c>
      <c r="F271">
        <v>249.35</v>
      </c>
      <c r="G271" t="s">
        <v>708</v>
      </c>
      <c r="H271" t="s">
        <v>14</v>
      </c>
      <c r="I271" s="26">
        <v>42479</v>
      </c>
    </row>
    <row r="272" spans="1:9" x14ac:dyDescent="0.2">
      <c r="A272">
        <v>257</v>
      </c>
      <c r="B272" t="s">
        <v>717</v>
      </c>
      <c r="C272" t="s">
        <v>718</v>
      </c>
      <c r="D272" t="s">
        <v>706</v>
      </c>
      <c r="E272" t="s">
        <v>719</v>
      </c>
      <c r="F272">
        <v>8.19</v>
      </c>
      <c r="G272" t="s">
        <v>708</v>
      </c>
      <c r="H272" t="s">
        <v>14</v>
      </c>
      <c r="I272" s="26">
        <v>42305</v>
      </c>
    </row>
    <row r="273" spans="1:9" x14ac:dyDescent="0.2">
      <c r="A273">
        <v>258</v>
      </c>
      <c r="B273" t="s">
        <v>720</v>
      </c>
      <c r="C273" t="s">
        <v>721</v>
      </c>
      <c r="D273" t="s">
        <v>508</v>
      </c>
      <c r="E273" t="s">
        <v>722</v>
      </c>
      <c r="F273">
        <v>20.5</v>
      </c>
      <c r="G273" t="s">
        <v>510</v>
      </c>
      <c r="H273" t="s">
        <v>14</v>
      </c>
      <c r="I273" s="26">
        <v>42290</v>
      </c>
    </row>
    <row r="274" spans="1:9" x14ac:dyDescent="0.2">
      <c r="A274">
        <v>259</v>
      </c>
      <c r="B274" t="s">
        <v>723</v>
      </c>
      <c r="C274" t="s">
        <v>724</v>
      </c>
      <c r="D274" t="s">
        <v>508</v>
      </c>
      <c r="E274" t="s">
        <v>725</v>
      </c>
      <c r="F274">
        <v>8.5299999999999994</v>
      </c>
      <c r="G274" t="s">
        <v>510</v>
      </c>
      <c r="H274" t="s">
        <v>14</v>
      </c>
      <c r="I274" s="26">
        <v>42339</v>
      </c>
    </row>
    <row r="275" spans="1:9" x14ac:dyDescent="0.2">
      <c r="A275">
        <v>260</v>
      </c>
      <c r="B275" t="s">
        <v>726</v>
      </c>
      <c r="C275" t="s">
        <v>727</v>
      </c>
      <c r="D275" t="s">
        <v>537</v>
      </c>
      <c r="E275" t="s">
        <v>728</v>
      </c>
      <c r="F275">
        <v>26.68</v>
      </c>
      <c r="G275" t="s">
        <v>539</v>
      </c>
      <c r="H275" t="s">
        <v>14</v>
      </c>
      <c r="I275" s="26">
        <v>42290</v>
      </c>
    </row>
    <row r="276" spans="1:9" x14ac:dyDescent="0.2">
      <c r="A276">
        <v>261</v>
      </c>
      <c r="B276" t="s">
        <v>729</v>
      </c>
      <c r="C276" t="s">
        <v>730</v>
      </c>
      <c r="D276" t="s">
        <v>537</v>
      </c>
      <c r="E276" t="s">
        <v>731</v>
      </c>
      <c r="F276">
        <v>86.02</v>
      </c>
      <c r="G276" t="s">
        <v>539</v>
      </c>
      <c r="H276" t="s">
        <v>14</v>
      </c>
      <c r="I276" s="26">
        <v>42290</v>
      </c>
    </row>
    <row r="277" spans="1:9" x14ac:dyDescent="0.2">
      <c r="A277">
        <v>262</v>
      </c>
      <c r="B277" t="s">
        <v>732</v>
      </c>
      <c r="C277" t="s">
        <v>733</v>
      </c>
      <c r="D277" t="s">
        <v>537</v>
      </c>
      <c r="E277" t="s">
        <v>734</v>
      </c>
      <c r="F277">
        <v>37.729999999999997</v>
      </c>
      <c r="G277" t="s">
        <v>539</v>
      </c>
      <c r="H277" t="s">
        <v>14</v>
      </c>
      <c r="I277" s="26">
        <v>42290</v>
      </c>
    </row>
    <row r="278" spans="1:9" x14ac:dyDescent="0.2">
      <c r="A278">
        <v>263</v>
      </c>
      <c r="B278" t="s">
        <v>735</v>
      </c>
      <c r="C278" t="s">
        <v>736</v>
      </c>
      <c r="D278" t="s">
        <v>508</v>
      </c>
      <c r="E278" t="s">
        <v>737</v>
      </c>
      <c r="F278">
        <v>9.4600000000000009</v>
      </c>
      <c r="G278" t="s">
        <v>510</v>
      </c>
      <c r="H278" t="s">
        <v>14</v>
      </c>
      <c r="I278" s="26">
        <v>42289</v>
      </c>
    </row>
    <row r="279" spans="1:9" x14ac:dyDescent="0.2">
      <c r="A279">
        <v>264</v>
      </c>
      <c r="B279" t="s">
        <v>738</v>
      </c>
      <c r="C279" t="s">
        <v>739</v>
      </c>
      <c r="D279" t="s">
        <v>706</v>
      </c>
      <c r="E279" t="s">
        <v>740</v>
      </c>
      <c r="F279">
        <v>61.73</v>
      </c>
      <c r="G279" t="s">
        <v>708</v>
      </c>
      <c r="H279" t="s">
        <v>14</v>
      </c>
      <c r="I279" s="26"/>
    </row>
    <row r="280" spans="1:9" x14ac:dyDescent="0.2">
      <c r="A280">
        <v>265</v>
      </c>
      <c r="B280" t="s">
        <v>741</v>
      </c>
      <c r="C280" t="s">
        <v>742</v>
      </c>
      <c r="D280" t="s">
        <v>706</v>
      </c>
      <c r="E280" t="s">
        <v>743</v>
      </c>
      <c r="F280">
        <v>53.137500000000003</v>
      </c>
      <c r="G280" t="s">
        <v>708</v>
      </c>
      <c r="H280" t="s">
        <v>14</v>
      </c>
      <c r="I280" s="26">
        <v>42305</v>
      </c>
    </row>
    <row r="281" spans="1:9" x14ac:dyDescent="0.2">
      <c r="A281">
        <v>266</v>
      </c>
      <c r="B281" t="s">
        <v>744</v>
      </c>
      <c r="C281" t="s">
        <v>745</v>
      </c>
      <c r="D281" t="s">
        <v>508</v>
      </c>
      <c r="E281" t="s">
        <v>746</v>
      </c>
      <c r="F281">
        <v>33.799999999999997</v>
      </c>
      <c r="G281" t="s">
        <v>510</v>
      </c>
      <c r="H281" t="s">
        <v>14</v>
      </c>
      <c r="I281" s="26"/>
    </row>
    <row r="282" spans="1:9" x14ac:dyDescent="0.2">
      <c r="A282">
        <v>267</v>
      </c>
      <c r="B282" t="s">
        <v>747</v>
      </c>
      <c r="C282" t="s">
        <v>748</v>
      </c>
      <c r="D282" t="s">
        <v>537</v>
      </c>
      <c r="E282" t="s">
        <v>749</v>
      </c>
      <c r="F282">
        <v>57.91</v>
      </c>
      <c r="G282" t="s">
        <v>539</v>
      </c>
      <c r="H282" t="s">
        <v>14</v>
      </c>
      <c r="I282" s="26"/>
    </row>
    <row r="283" spans="1:9" x14ac:dyDescent="0.2">
      <c r="A283">
        <v>268</v>
      </c>
      <c r="B283" t="s">
        <v>750</v>
      </c>
      <c r="C283" t="s">
        <v>751</v>
      </c>
      <c r="D283" t="s">
        <v>706</v>
      </c>
      <c r="E283" t="s">
        <v>14</v>
      </c>
      <c r="G283" t="s">
        <v>708</v>
      </c>
      <c r="H283" t="s">
        <v>14</v>
      </c>
      <c r="I283" s="26"/>
    </row>
    <row r="284" spans="1:9" x14ac:dyDescent="0.2">
      <c r="A284">
        <v>269</v>
      </c>
      <c r="B284" t="s">
        <v>752</v>
      </c>
      <c r="C284" t="s">
        <v>753</v>
      </c>
      <c r="D284" t="s">
        <v>754</v>
      </c>
      <c r="E284" t="s">
        <v>755</v>
      </c>
      <c r="F284">
        <v>16.850000000000001</v>
      </c>
      <c r="G284" t="s">
        <v>756</v>
      </c>
      <c r="H284" t="s">
        <v>14</v>
      </c>
      <c r="I284" s="26"/>
    </row>
    <row r="285" spans="1:9" x14ac:dyDescent="0.2">
      <c r="A285">
        <v>270</v>
      </c>
      <c r="B285" t="s">
        <v>757</v>
      </c>
      <c r="C285" t="s">
        <v>758</v>
      </c>
      <c r="D285" t="s">
        <v>754</v>
      </c>
      <c r="E285" t="s">
        <v>759</v>
      </c>
      <c r="F285">
        <v>27.25</v>
      </c>
      <c r="G285" t="s">
        <v>756</v>
      </c>
      <c r="H285" t="s">
        <v>14</v>
      </c>
      <c r="I285" s="26"/>
    </row>
    <row r="286" spans="1:9" x14ac:dyDescent="0.2">
      <c r="A286">
        <v>271</v>
      </c>
      <c r="B286" t="s">
        <v>760</v>
      </c>
      <c r="C286" t="s">
        <v>761</v>
      </c>
      <c r="D286" t="s">
        <v>754</v>
      </c>
      <c r="E286" t="s">
        <v>762</v>
      </c>
      <c r="G286" t="s">
        <v>756</v>
      </c>
      <c r="H286" t="s">
        <v>14</v>
      </c>
      <c r="I286" s="26"/>
    </row>
    <row r="287" spans="1:9" x14ac:dyDescent="0.2">
      <c r="A287">
        <v>272</v>
      </c>
      <c r="B287" t="s">
        <v>763</v>
      </c>
      <c r="C287" t="s">
        <v>764</v>
      </c>
      <c r="D287" t="s">
        <v>754</v>
      </c>
      <c r="E287" t="s">
        <v>765</v>
      </c>
      <c r="G287" t="s">
        <v>756</v>
      </c>
      <c r="H287" t="s">
        <v>14</v>
      </c>
      <c r="I287" s="26"/>
    </row>
    <row r="288" spans="1:9" x14ac:dyDescent="0.2">
      <c r="A288">
        <v>273</v>
      </c>
      <c r="B288" t="s">
        <v>766</v>
      </c>
      <c r="C288" t="s">
        <v>767</v>
      </c>
      <c r="D288" t="s">
        <v>754</v>
      </c>
      <c r="E288" t="s">
        <v>768</v>
      </c>
      <c r="F288">
        <v>25.91</v>
      </c>
      <c r="G288" t="s">
        <v>756</v>
      </c>
      <c r="H288" t="s">
        <v>14</v>
      </c>
      <c r="I288" s="26"/>
    </row>
    <row r="289" spans="1:9" x14ac:dyDescent="0.2">
      <c r="A289">
        <v>274</v>
      </c>
      <c r="B289" t="s">
        <v>769</v>
      </c>
      <c r="C289" t="s">
        <v>770</v>
      </c>
      <c r="D289" t="s">
        <v>754</v>
      </c>
      <c r="E289" t="s">
        <v>771</v>
      </c>
      <c r="F289">
        <v>46.7</v>
      </c>
      <c r="G289" t="s">
        <v>756</v>
      </c>
      <c r="H289" t="s">
        <v>14</v>
      </c>
      <c r="I289" s="26">
        <v>42850</v>
      </c>
    </row>
    <row r="290" spans="1:9" x14ac:dyDescent="0.2">
      <c r="A290">
        <v>275</v>
      </c>
      <c r="B290" t="s">
        <v>772</v>
      </c>
      <c r="C290" t="s">
        <v>773</v>
      </c>
      <c r="D290" t="s">
        <v>754</v>
      </c>
      <c r="E290" t="s">
        <v>774</v>
      </c>
      <c r="F290">
        <v>8.1</v>
      </c>
      <c r="G290" t="s">
        <v>756</v>
      </c>
      <c r="H290" t="s">
        <v>14</v>
      </c>
      <c r="I290" s="26"/>
    </row>
    <row r="291" spans="1:9" x14ac:dyDescent="0.2">
      <c r="A291">
        <v>276</v>
      </c>
      <c r="B291" t="s">
        <v>775</v>
      </c>
      <c r="C291" t="s">
        <v>776</v>
      </c>
      <c r="D291" t="s">
        <v>754</v>
      </c>
      <c r="E291" t="s">
        <v>777</v>
      </c>
      <c r="F291">
        <v>4.5</v>
      </c>
      <c r="G291" t="s">
        <v>756</v>
      </c>
      <c r="H291" t="s">
        <v>14</v>
      </c>
      <c r="I291" s="26"/>
    </row>
    <row r="292" spans="1:9" x14ac:dyDescent="0.2">
      <c r="A292">
        <v>277</v>
      </c>
      <c r="B292" t="s">
        <v>778</v>
      </c>
      <c r="C292" t="s">
        <v>779</v>
      </c>
      <c r="D292" t="s">
        <v>508</v>
      </c>
      <c r="E292" t="s">
        <v>780</v>
      </c>
      <c r="F292">
        <v>30.01</v>
      </c>
      <c r="G292" t="s">
        <v>510</v>
      </c>
      <c r="H292" t="s">
        <v>14</v>
      </c>
      <c r="I292" s="26"/>
    </row>
    <row r="293" spans="1:9" x14ac:dyDescent="0.2">
      <c r="A293">
        <v>278</v>
      </c>
      <c r="B293" t="s">
        <v>781</v>
      </c>
      <c r="C293" t="s">
        <v>782</v>
      </c>
      <c r="D293" t="s">
        <v>508</v>
      </c>
      <c r="E293" t="s">
        <v>783</v>
      </c>
      <c r="F293">
        <v>15.99</v>
      </c>
      <c r="G293" t="s">
        <v>510</v>
      </c>
      <c r="H293" t="s">
        <v>14</v>
      </c>
      <c r="I293" s="26">
        <v>42290</v>
      </c>
    </row>
    <row r="294" spans="1:9" x14ac:dyDescent="0.2">
      <c r="A294">
        <v>279</v>
      </c>
      <c r="B294" t="s">
        <v>784</v>
      </c>
      <c r="C294" t="s">
        <v>785</v>
      </c>
      <c r="D294" t="s">
        <v>508</v>
      </c>
      <c r="E294" t="s">
        <v>786</v>
      </c>
      <c r="F294">
        <v>15.76</v>
      </c>
      <c r="G294" t="s">
        <v>510</v>
      </c>
      <c r="H294" t="s">
        <v>14</v>
      </c>
      <c r="I294" s="26">
        <v>42289</v>
      </c>
    </row>
    <row r="295" spans="1:9" x14ac:dyDescent="0.2">
      <c r="A295">
        <v>280</v>
      </c>
      <c r="B295" t="s">
        <v>787</v>
      </c>
      <c r="C295" t="s">
        <v>788</v>
      </c>
      <c r="D295" t="s">
        <v>537</v>
      </c>
      <c r="E295" t="s">
        <v>789</v>
      </c>
      <c r="F295">
        <v>7.67</v>
      </c>
      <c r="G295" t="s">
        <v>539</v>
      </c>
      <c r="H295" t="s">
        <v>14</v>
      </c>
      <c r="I295" s="26"/>
    </row>
    <row r="296" spans="1:9" x14ac:dyDescent="0.2">
      <c r="A296">
        <v>281</v>
      </c>
      <c r="B296" t="s">
        <v>790</v>
      </c>
      <c r="C296" t="s">
        <v>791</v>
      </c>
      <c r="D296" t="s">
        <v>537</v>
      </c>
      <c r="E296" t="s">
        <v>792</v>
      </c>
      <c r="F296">
        <v>8.9</v>
      </c>
      <c r="G296" t="s">
        <v>539</v>
      </c>
      <c r="H296" t="s">
        <v>14</v>
      </c>
      <c r="I296" s="26"/>
    </row>
    <row r="297" spans="1:9" x14ac:dyDescent="0.2">
      <c r="A297">
        <v>282</v>
      </c>
      <c r="B297" t="s">
        <v>793</v>
      </c>
      <c r="C297" t="s">
        <v>794</v>
      </c>
      <c r="D297" t="s">
        <v>537</v>
      </c>
      <c r="E297" t="s">
        <v>795</v>
      </c>
      <c r="F297">
        <v>9.3800000000000008</v>
      </c>
      <c r="G297" t="s">
        <v>539</v>
      </c>
      <c r="H297" t="s">
        <v>14</v>
      </c>
      <c r="I297" s="26"/>
    </row>
    <row r="298" spans="1:9" x14ac:dyDescent="0.2">
      <c r="A298">
        <v>283</v>
      </c>
      <c r="B298" t="s">
        <v>796</v>
      </c>
      <c r="C298" t="s">
        <v>797</v>
      </c>
      <c r="D298" t="s">
        <v>537</v>
      </c>
      <c r="E298" t="s">
        <v>798</v>
      </c>
      <c r="F298">
        <v>11.22</v>
      </c>
      <c r="G298" t="s">
        <v>539</v>
      </c>
      <c r="H298" t="s">
        <v>14</v>
      </c>
      <c r="I298" s="26"/>
    </row>
    <row r="299" spans="1:9" x14ac:dyDescent="0.2">
      <c r="A299">
        <v>284</v>
      </c>
      <c r="B299" t="s">
        <v>799</v>
      </c>
      <c r="C299" t="s">
        <v>800</v>
      </c>
      <c r="D299" t="s">
        <v>801</v>
      </c>
      <c r="E299" t="s">
        <v>802</v>
      </c>
      <c r="F299">
        <v>584.14</v>
      </c>
      <c r="G299" t="s">
        <v>803</v>
      </c>
      <c r="H299" t="s">
        <v>14</v>
      </c>
      <c r="I299" s="26">
        <v>43217</v>
      </c>
    </row>
    <row r="300" spans="1:9" x14ac:dyDescent="0.2">
      <c r="A300">
        <v>285</v>
      </c>
      <c r="B300" t="s">
        <v>804</v>
      </c>
      <c r="C300" t="s">
        <v>805</v>
      </c>
      <c r="D300" t="s">
        <v>806</v>
      </c>
      <c r="E300" t="s">
        <v>807</v>
      </c>
      <c r="F300">
        <v>142</v>
      </c>
      <c r="G300" t="s">
        <v>808</v>
      </c>
      <c r="H300" t="s">
        <v>14</v>
      </c>
      <c r="I300" s="26"/>
    </row>
    <row r="301" spans="1:9" x14ac:dyDescent="0.2">
      <c r="A301">
        <v>286</v>
      </c>
      <c r="B301" t="s">
        <v>809</v>
      </c>
      <c r="C301" t="s">
        <v>810</v>
      </c>
      <c r="D301" t="s">
        <v>806</v>
      </c>
      <c r="E301" t="s">
        <v>811</v>
      </c>
      <c r="F301">
        <v>148.4</v>
      </c>
      <c r="G301" t="s">
        <v>808</v>
      </c>
      <c r="H301" t="s">
        <v>14</v>
      </c>
      <c r="I301" s="26"/>
    </row>
    <row r="302" spans="1:9" x14ac:dyDescent="0.2">
      <c r="A302">
        <v>287</v>
      </c>
      <c r="B302" t="s">
        <v>812</v>
      </c>
      <c r="C302" t="s">
        <v>813</v>
      </c>
      <c r="D302" t="s">
        <v>816</v>
      </c>
      <c r="E302" t="s">
        <v>4430</v>
      </c>
      <c r="F302">
        <v>126</v>
      </c>
      <c r="G302" t="s">
        <v>818</v>
      </c>
      <c r="H302" t="s">
        <v>14</v>
      </c>
      <c r="I302" s="26">
        <v>43229</v>
      </c>
    </row>
    <row r="303" spans="1:9" x14ac:dyDescent="0.2">
      <c r="A303">
        <v>288</v>
      </c>
      <c r="B303" t="s">
        <v>814</v>
      </c>
      <c r="C303" t="s">
        <v>815</v>
      </c>
      <c r="D303" t="s">
        <v>816</v>
      </c>
      <c r="E303" t="s">
        <v>817</v>
      </c>
      <c r="F303">
        <v>146</v>
      </c>
      <c r="G303" t="s">
        <v>818</v>
      </c>
      <c r="H303" t="s">
        <v>14</v>
      </c>
      <c r="I303" s="26"/>
    </row>
    <row r="304" spans="1:9" x14ac:dyDescent="0.2">
      <c r="A304">
        <v>289</v>
      </c>
      <c r="B304" t="s">
        <v>819</v>
      </c>
      <c r="C304" t="s">
        <v>820</v>
      </c>
      <c r="D304" t="s">
        <v>4559</v>
      </c>
      <c r="E304" t="s">
        <v>821</v>
      </c>
      <c r="F304">
        <v>125.9</v>
      </c>
      <c r="G304" t="s">
        <v>822</v>
      </c>
      <c r="H304" t="s">
        <v>14</v>
      </c>
      <c r="I304" s="26"/>
    </row>
    <row r="305" spans="1:9" x14ac:dyDescent="0.2">
      <c r="A305">
        <v>290</v>
      </c>
      <c r="B305" t="s">
        <v>823</v>
      </c>
      <c r="C305" t="s">
        <v>824</v>
      </c>
      <c r="D305" t="s">
        <v>816</v>
      </c>
      <c r="E305" t="s">
        <v>4431</v>
      </c>
      <c r="F305">
        <v>167</v>
      </c>
      <c r="G305" t="s">
        <v>818</v>
      </c>
      <c r="H305" t="s">
        <v>14</v>
      </c>
      <c r="I305" s="26">
        <v>43229</v>
      </c>
    </row>
    <row r="306" spans="1:9" x14ac:dyDescent="0.2">
      <c r="A306">
        <v>291</v>
      </c>
      <c r="B306" t="s">
        <v>825</v>
      </c>
      <c r="C306" t="s">
        <v>4432</v>
      </c>
      <c r="D306" t="s">
        <v>4559</v>
      </c>
      <c r="E306" t="s">
        <v>826</v>
      </c>
      <c r="F306">
        <v>155.44999999999999</v>
      </c>
      <c r="G306" t="s">
        <v>822</v>
      </c>
      <c r="H306" t="s">
        <v>14</v>
      </c>
      <c r="I306" s="26"/>
    </row>
    <row r="307" spans="1:9" x14ac:dyDescent="0.2">
      <c r="A307">
        <v>292</v>
      </c>
      <c r="B307" t="s">
        <v>827</v>
      </c>
      <c r="C307" t="s">
        <v>828</v>
      </c>
      <c r="D307" t="s">
        <v>816</v>
      </c>
      <c r="E307" t="s">
        <v>4433</v>
      </c>
      <c r="F307">
        <v>217</v>
      </c>
      <c r="G307" t="s">
        <v>818</v>
      </c>
      <c r="H307" t="s">
        <v>14</v>
      </c>
      <c r="I307" s="26">
        <v>43229</v>
      </c>
    </row>
    <row r="308" spans="1:9" x14ac:dyDescent="0.2">
      <c r="A308">
        <v>293</v>
      </c>
      <c r="B308" t="s">
        <v>829</v>
      </c>
      <c r="C308" t="s">
        <v>830</v>
      </c>
      <c r="D308" t="s">
        <v>816</v>
      </c>
      <c r="E308" t="s">
        <v>4434</v>
      </c>
      <c r="F308">
        <v>215</v>
      </c>
      <c r="G308" t="s">
        <v>818</v>
      </c>
      <c r="H308" t="s">
        <v>14</v>
      </c>
      <c r="I308" s="26">
        <v>43229</v>
      </c>
    </row>
    <row r="309" spans="1:9" x14ac:dyDescent="0.2">
      <c r="A309">
        <v>294</v>
      </c>
      <c r="B309" t="s">
        <v>4450</v>
      </c>
      <c r="C309" t="s">
        <v>4451</v>
      </c>
      <c r="D309" t="s">
        <v>816</v>
      </c>
      <c r="E309" t="s">
        <v>4452</v>
      </c>
      <c r="F309">
        <v>94</v>
      </c>
      <c r="G309" t="s">
        <v>818</v>
      </c>
      <c r="H309" t="s">
        <v>14</v>
      </c>
      <c r="I309" s="26">
        <v>43229</v>
      </c>
    </row>
    <row r="310" spans="1:9" x14ac:dyDescent="0.2">
      <c r="A310">
        <v>295</v>
      </c>
      <c r="B310" t="s">
        <v>831</v>
      </c>
      <c r="C310" t="s">
        <v>832</v>
      </c>
      <c r="D310" t="s">
        <v>816</v>
      </c>
      <c r="E310" t="s">
        <v>4435</v>
      </c>
      <c r="F310">
        <v>252</v>
      </c>
      <c r="G310" t="s">
        <v>818</v>
      </c>
      <c r="H310" t="s">
        <v>14</v>
      </c>
      <c r="I310" s="26">
        <v>43229</v>
      </c>
    </row>
    <row r="311" spans="1:9" x14ac:dyDescent="0.2">
      <c r="A311">
        <v>296</v>
      </c>
      <c r="B311" t="s">
        <v>833</v>
      </c>
      <c r="C311" t="s">
        <v>834</v>
      </c>
      <c r="D311" t="s">
        <v>816</v>
      </c>
      <c r="E311" t="s">
        <v>4436</v>
      </c>
      <c r="F311">
        <v>509</v>
      </c>
      <c r="G311" t="s">
        <v>818</v>
      </c>
      <c r="H311" t="s">
        <v>14</v>
      </c>
      <c r="I311" s="26">
        <v>43229</v>
      </c>
    </row>
    <row r="312" spans="1:9" x14ac:dyDescent="0.2">
      <c r="A312">
        <v>297</v>
      </c>
      <c r="B312" t="s">
        <v>835</v>
      </c>
      <c r="C312" t="s">
        <v>836</v>
      </c>
      <c r="D312" t="s">
        <v>4559</v>
      </c>
      <c r="E312" t="s">
        <v>837</v>
      </c>
      <c r="F312">
        <v>795.06</v>
      </c>
      <c r="G312" t="s">
        <v>822</v>
      </c>
      <c r="H312" t="s">
        <v>14</v>
      </c>
      <c r="I312" s="26">
        <v>42290</v>
      </c>
    </row>
    <row r="313" spans="1:9" x14ac:dyDescent="0.2">
      <c r="A313">
        <v>298</v>
      </c>
      <c r="B313" t="s">
        <v>838</v>
      </c>
      <c r="C313" t="s">
        <v>839</v>
      </c>
      <c r="D313" t="s">
        <v>816</v>
      </c>
      <c r="E313" t="s">
        <v>4437</v>
      </c>
      <c r="F313">
        <v>326.86099999999999</v>
      </c>
      <c r="G313" t="s">
        <v>818</v>
      </c>
      <c r="H313" t="s">
        <v>14</v>
      </c>
      <c r="I313" s="26">
        <v>43229</v>
      </c>
    </row>
    <row r="314" spans="1:9" x14ac:dyDescent="0.2">
      <c r="A314">
        <v>299</v>
      </c>
      <c r="B314" t="s">
        <v>840</v>
      </c>
      <c r="C314" t="s">
        <v>841</v>
      </c>
      <c r="D314" t="s">
        <v>816</v>
      </c>
      <c r="E314" t="s">
        <v>4438</v>
      </c>
      <c r="F314">
        <v>493.97</v>
      </c>
      <c r="G314" t="s">
        <v>818</v>
      </c>
      <c r="H314" t="s">
        <v>14</v>
      </c>
      <c r="I314" s="26">
        <v>43229</v>
      </c>
    </row>
    <row r="315" spans="1:9" x14ac:dyDescent="0.2">
      <c r="A315">
        <v>300</v>
      </c>
      <c r="B315" t="s">
        <v>842</v>
      </c>
      <c r="C315" t="s">
        <v>843</v>
      </c>
      <c r="D315" t="s">
        <v>816</v>
      </c>
      <c r="E315" t="s">
        <v>4439</v>
      </c>
      <c r="F315">
        <v>100</v>
      </c>
      <c r="G315" t="s">
        <v>818</v>
      </c>
      <c r="H315" t="s">
        <v>14</v>
      </c>
      <c r="I315" s="26">
        <v>43229</v>
      </c>
    </row>
    <row r="316" spans="1:9" x14ac:dyDescent="0.2">
      <c r="A316">
        <v>301</v>
      </c>
      <c r="B316" t="s">
        <v>844</v>
      </c>
      <c r="C316" t="s">
        <v>845</v>
      </c>
      <c r="D316" t="s">
        <v>816</v>
      </c>
      <c r="E316" t="s">
        <v>4440</v>
      </c>
      <c r="F316">
        <v>197.58799999999999</v>
      </c>
      <c r="G316" t="s">
        <v>818</v>
      </c>
      <c r="H316" t="s">
        <v>14</v>
      </c>
      <c r="I316" s="26">
        <v>43229</v>
      </c>
    </row>
    <row r="317" spans="1:9" x14ac:dyDescent="0.2">
      <c r="A317">
        <v>302</v>
      </c>
      <c r="B317" t="s">
        <v>846</v>
      </c>
      <c r="C317" t="s">
        <v>847</v>
      </c>
      <c r="D317" t="s">
        <v>816</v>
      </c>
      <c r="E317" t="s">
        <v>4441</v>
      </c>
      <c r="F317">
        <v>171</v>
      </c>
      <c r="G317" t="s">
        <v>818</v>
      </c>
      <c r="H317" t="s">
        <v>14</v>
      </c>
      <c r="I317" s="26">
        <v>43229</v>
      </c>
    </row>
    <row r="318" spans="1:9" x14ac:dyDescent="0.2">
      <c r="A318">
        <v>303</v>
      </c>
      <c r="B318" t="s">
        <v>848</v>
      </c>
      <c r="C318" t="s">
        <v>849</v>
      </c>
      <c r="D318" t="s">
        <v>816</v>
      </c>
      <c r="E318" t="s">
        <v>4442</v>
      </c>
      <c r="F318">
        <v>173.41499999999999</v>
      </c>
      <c r="G318" t="s">
        <v>818</v>
      </c>
      <c r="H318" t="s">
        <v>14</v>
      </c>
      <c r="I318" s="26">
        <v>43229</v>
      </c>
    </row>
    <row r="319" spans="1:9" x14ac:dyDescent="0.2">
      <c r="A319">
        <v>304</v>
      </c>
      <c r="B319" t="s">
        <v>850</v>
      </c>
      <c r="C319" t="s">
        <v>851</v>
      </c>
      <c r="D319" t="s">
        <v>816</v>
      </c>
      <c r="E319" t="s">
        <v>4443</v>
      </c>
      <c r="F319">
        <v>222</v>
      </c>
      <c r="G319" t="s">
        <v>818</v>
      </c>
      <c r="H319" t="s">
        <v>14</v>
      </c>
      <c r="I319" s="26">
        <v>43229</v>
      </c>
    </row>
    <row r="320" spans="1:9" x14ac:dyDescent="0.2">
      <c r="A320">
        <v>305</v>
      </c>
      <c r="B320" t="s">
        <v>4453</v>
      </c>
      <c r="C320" t="s">
        <v>4454</v>
      </c>
      <c r="D320" t="s">
        <v>816</v>
      </c>
      <c r="E320" t="s">
        <v>4455</v>
      </c>
      <c r="F320">
        <v>1055</v>
      </c>
      <c r="G320" t="s">
        <v>818</v>
      </c>
      <c r="H320" t="s">
        <v>14</v>
      </c>
      <c r="I320" s="26">
        <v>43229</v>
      </c>
    </row>
    <row r="321" spans="1:9" x14ac:dyDescent="0.2">
      <c r="A321">
        <v>306</v>
      </c>
      <c r="B321" t="s">
        <v>4456</v>
      </c>
      <c r="C321" t="s">
        <v>4457</v>
      </c>
      <c r="D321" t="s">
        <v>816</v>
      </c>
      <c r="E321" t="s">
        <v>4458</v>
      </c>
      <c r="F321">
        <v>1358</v>
      </c>
      <c r="G321" t="s">
        <v>818</v>
      </c>
      <c r="H321" t="s">
        <v>14</v>
      </c>
      <c r="I321" s="26">
        <v>43229</v>
      </c>
    </row>
    <row r="322" spans="1:9" x14ac:dyDescent="0.2">
      <c r="A322">
        <v>307</v>
      </c>
      <c r="B322" t="s">
        <v>4459</v>
      </c>
      <c r="C322" t="s">
        <v>4460</v>
      </c>
      <c r="D322" t="s">
        <v>816</v>
      </c>
      <c r="E322" t="s">
        <v>4461</v>
      </c>
      <c r="F322">
        <v>945</v>
      </c>
      <c r="G322" t="s">
        <v>818</v>
      </c>
      <c r="H322" t="s">
        <v>14</v>
      </c>
      <c r="I322" s="26">
        <v>43229</v>
      </c>
    </row>
    <row r="323" spans="1:9" x14ac:dyDescent="0.2">
      <c r="A323">
        <v>308</v>
      </c>
      <c r="B323" t="s">
        <v>4462</v>
      </c>
      <c r="C323" t="s">
        <v>4463</v>
      </c>
      <c r="D323" t="s">
        <v>816</v>
      </c>
      <c r="E323" t="s">
        <v>4464</v>
      </c>
      <c r="F323">
        <v>216</v>
      </c>
      <c r="G323" t="s">
        <v>818</v>
      </c>
      <c r="H323" t="s">
        <v>14</v>
      </c>
      <c r="I323" s="26">
        <v>43229</v>
      </c>
    </row>
    <row r="324" spans="1:9" x14ac:dyDescent="0.2">
      <c r="A324">
        <v>309</v>
      </c>
      <c r="B324" t="s">
        <v>852</v>
      </c>
      <c r="C324" t="s">
        <v>853</v>
      </c>
      <c r="D324" t="s">
        <v>854</v>
      </c>
      <c r="E324" t="s">
        <v>855</v>
      </c>
      <c r="F324">
        <v>7.81</v>
      </c>
      <c r="G324" t="s">
        <v>856</v>
      </c>
      <c r="H324" t="s">
        <v>14</v>
      </c>
      <c r="I324" s="26"/>
    </row>
    <row r="325" spans="1:9" x14ac:dyDescent="0.2">
      <c r="A325">
        <v>310</v>
      </c>
      <c r="B325" t="s">
        <v>857</v>
      </c>
      <c r="C325" t="s">
        <v>858</v>
      </c>
      <c r="D325" t="s">
        <v>40</v>
      </c>
      <c r="E325" t="s">
        <v>859</v>
      </c>
      <c r="F325">
        <v>54.58</v>
      </c>
      <c r="G325" t="s">
        <v>42</v>
      </c>
      <c r="H325" t="s">
        <v>14</v>
      </c>
      <c r="I325" s="26">
        <v>42289</v>
      </c>
    </row>
    <row r="326" spans="1:9" x14ac:dyDescent="0.2">
      <c r="A326">
        <v>311</v>
      </c>
      <c r="B326" t="s">
        <v>860</v>
      </c>
      <c r="C326" t="s">
        <v>861</v>
      </c>
      <c r="D326" t="s">
        <v>40</v>
      </c>
      <c r="E326" t="s">
        <v>862</v>
      </c>
      <c r="F326">
        <v>121.92</v>
      </c>
      <c r="G326" t="s">
        <v>42</v>
      </c>
      <c r="H326" t="s">
        <v>14</v>
      </c>
      <c r="I326" s="26">
        <v>42485</v>
      </c>
    </row>
    <row r="327" spans="1:9" x14ac:dyDescent="0.2">
      <c r="A327">
        <v>312</v>
      </c>
      <c r="B327" t="s">
        <v>863</v>
      </c>
      <c r="C327" t="s">
        <v>864</v>
      </c>
      <c r="D327" t="s">
        <v>40</v>
      </c>
      <c r="E327" t="s">
        <v>865</v>
      </c>
      <c r="F327">
        <v>0</v>
      </c>
      <c r="G327" t="s">
        <v>42</v>
      </c>
      <c r="H327" t="s">
        <v>14</v>
      </c>
      <c r="I327" s="26"/>
    </row>
    <row r="328" spans="1:9" x14ac:dyDescent="0.2">
      <c r="A328">
        <v>313</v>
      </c>
      <c r="B328" t="s">
        <v>866</v>
      </c>
      <c r="C328" t="s">
        <v>867</v>
      </c>
      <c r="D328" t="s">
        <v>40</v>
      </c>
      <c r="E328" t="s">
        <v>868</v>
      </c>
      <c r="F328">
        <v>121.92</v>
      </c>
      <c r="G328" t="s">
        <v>42</v>
      </c>
      <c r="H328" t="s">
        <v>14</v>
      </c>
      <c r="I328" s="26">
        <v>42485</v>
      </c>
    </row>
    <row r="329" spans="1:9" x14ac:dyDescent="0.2">
      <c r="A329">
        <v>314</v>
      </c>
      <c r="B329" t="s">
        <v>869</v>
      </c>
      <c r="C329" t="s">
        <v>870</v>
      </c>
      <c r="D329" t="s">
        <v>40</v>
      </c>
      <c r="E329" t="s">
        <v>871</v>
      </c>
      <c r="F329">
        <v>0</v>
      </c>
      <c r="G329" t="s">
        <v>42</v>
      </c>
      <c r="H329" t="s">
        <v>14</v>
      </c>
      <c r="I329" s="26">
        <v>42676</v>
      </c>
    </row>
    <row r="330" spans="1:9" x14ac:dyDescent="0.2">
      <c r="A330">
        <v>315</v>
      </c>
      <c r="B330" t="s">
        <v>872</v>
      </c>
      <c r="C330" t="s">
        <v>873</v>
      </c>
      <c r="D330" t="s">
        <v>40</v>
      </c>
      <c r="E330" t="s">
        <v>874</v>
      </c>
      <c r="F330">
        <v>53.77</v>
      </c>
      <c r="G330" t="s">
        <v>42</v>
      </c>
      <c r="H330" t="s">
        <v>14</v>
      </c>
      <c r="I330" s="26"/>
    </row>
    <row r="331" spans="1:9" x14ac:dyDescent="0.2">
      <c r="A331">
        <v>316</v>
      </c>
      <c r="B331" t="s">
        <v>875</v>
      </c>
      <c r="C331" t="s">
        <v>876</v>
      </c>
      <c r="D331" t="s">
        <v>508</v>
      </c>
      <c r="E331" t="s">
        <v>877</v>
      </c>
      <c r="F331">
        <v>13.8</v>
      </c>
      <c r="G331" t="s">
        <v>510</v>
      </c>
      <c r="H331" t="s">
        <v>14</v>
      </c>
      <c r="I331" s="26"/>
    </row>
    <row r="332" spans="1:9" x14ac:dyDescent="0.2">
      <c r="A332">
        <v>317</v>
      </c>
      <c r="B332" t="s">
        <v>878</v>
      </c>
      <c r="C332" t="s">
        <v>879</v>
      </c>
      <c r="D332" t="s">
        <v>508</v>
      </c>
      <c r="E332" t="s">
        <v>880</v>
      </c>
      <c r="F332">
        <v>12.51</v>
      </c>
      <c r="G332" t="s">
        <v>510</v>
      </c>
      <c r="H332" t="s">
        <v>14</v>
      </c>
      <c r="I332" s="26">
        <v>42289</v>
      </c>
    </row>
    <row r="333" spans="1:9" x14ac:dyDescent="0.2">
      <c r="A333">
        <v>318</v>
      </c>
      <c r="B333" t="s">
        <v>881</v>
      </c>
      <c r="C333" t="s">
        <v>882</v>
      </c>
      <c r="D333" t="s">
        <v>508</v>
      </c>
      <c r="E333" t="s">
        <v>883</v>
      </c>
      <c r="F333">
        <v>14.36</v>
      </c>
      <c r="G333" t="s">
        <v>510</v>
      </c>
      <c r="H333" t="s">
        <v>14</v>
      </c>
      <c r="I333" s="26"/>
    </row>
    <row r="334" spans="1:9" x14ac:dyDescent="0.2">
      <c r="A334">
        <v>319</v>
      </c>
      <c r="B334" t="s">
        <v>884</v>
      </c>
      <c r="C334" t="s">
        <v>885</v>
      </c>
      <c r="D334" t="s">
        <v>508</v>
      </c>
      <c r="E334" t="s">
        <v>886</v>
      </c>
      <c r="F334">
        <v>12.51</v>
      </c>
      <c r="G334" t="s">
        <v>510</v>
      </c>
      <c r="H334" t="s">
        <v>14</v>
      </c>
      <c r="I334" s="26">
        <v>42289</v>
      </c>
    </row>
    <row r="335" spans="1:9" x14ac:dyDescent="0.2">
      <c r="A335">
        <v>320</v>
      </c>
      <c r="B335" t="s">
        <v>887</v>
      </c>
      <c r="C335" t="s">
        <v>888</v>
      </c>
      <c r="D335" t="s">
        <v>508</v>
      </c>
      <c r="E335" t="s">
        <v>889</v>
      </c>
      <c r="F335">
        <v>18.37</v>
      </c>
      <c r="G335" t="s">
        <v>510</v>
      </c>
      <c r="H335" t="s">
        <v>14</v>
      </c>
      <c r="I335" s="26">
        <v>42289</v>
      </c>
    </row>
    <row r="336" spans="1:9" x14ac:dyDescent="0.2">
      <c r="A336">
        <v>321</v>
      </c>
      <c r="B336" t="s">
        <v>890</v>
      </c>
      <c r="C336" t="s">
        <v>891</v>
      </c>
      <c r="D336" t="s">
        <v>508</v>
      </c>
      <c r="E336" t="s">
        <v>892</v>
      </c>
      <c r="F336">
        <v>18.37</v>
      </c>
      <c r="G336" t="s">
        <v>510</v>
      </c>
      <c r="H336" t="s">
        <v>14</v>
      </c>
      <c r="I336" s="26">
        <v>42339</v>
      </c>
    </row>
    <row r="337" spans="1:9" x14ac:dyDescent="0.2">
      <c r="A337">
        <v>322</v>
      </c>
      <c r="B337" t="s">
        <v>893</v>
      </c>
      <c r="C337" t="s">
        <v>894</v>
      </c>
      <c r="D337" t="s">
        <v>508</v>
      </c>
      <c r="E337" t="s">
        <v>895</v>
      </c>
      <c r="F337">
        <v>12.51</v>
      </c>
      <c r="G337" t="s">
        <v>510</v>
      </c>
      <c r="H337" t="s">
        <v>14</v>
      </c>
      <c r="I337" s="26">
        <v>42339</v>
      </c>
    </row>
    <row r="338" spans="1:9" x14ac:dyDescent="0.2">
      <c r="A338">
        <v>323</v>
      </c>
      <c r="B338" t="s">
        <v>896</v>
      </c>
      <c r="C338" t="s">
        <v>897</v>
      </c>
      <c r="D338" t="s">
        <v>508</v>
      </c>
      <c r="E338" t="s">
        <v>898</v>
      </c>
      <c r="F338">
        <v>12.51</v>
      </c>
      <c r="G338" t="s">
        <v>510</v>
      </c>
      <c r="H338" t="s">
        <v>14</v>
      </c>
      <c r="I338" s="26">
        <v>42339</v>
      </c>
    </row>
    <row r="339" spans="1:9" x14ac:dyDescent="0.2">
      <c r="A339">
        <v>324</v>
      </c>
      <c r="B339" t="s">
        <v>899</v>
      </c>
      <c r="C339" t="s">
        <v>900</v>
      </c>
      <c r="D339" t="s">
        <v>508</v>
      </c>
      <c r="E339" t="s">
        <v>901</v>
      </c>
      <c r="F339">
        <v>12.9</v>
      </c>
      <c r="G339" t="s">
        <v>510</v>
      </c>
      <c r="H339" t="s">
        <v>14</v>
      </c>
      <c r="I339" s="26"/>
    </row>
    <row r="340" spans="1:9" x14ac:dyDescent="0.2">
      <c r="A340">
        <v>325</v>
      </c>
      <c r="B340" t="s">
        <v>902</v>
      </c>
      <c r="C340" t="s">
        <v>903</v>
      </c>
      <c r="D340" t="s">
        <v>508</v>
      </c>
      <c r="E340" t="s">
        <v>904</v>
      </c>
      <c r="F340">
        <v>14.57</v>
      </c>
      <c r="G340" t="s">
        <v>510</v>
      </c>
      <c r="H340" t="s">
        <v>14</v>
      </c>
      <c r="I340" s="26"/>
    </row>
    <row r="341" spans="1:9" x14ac:dyDescent="0.2">
      <c r="A341">
        <v>326</v>
      </c>
      <c r="B341" t="s">
        <v>905</v>
      </c>
      <c r="C341" t="s">
        <v>906</v>
      </c>
      <c r="D341" t="s">
        <v>508</v>
      </c>
      <c r="E341" t="s">
        <v>907</v>
      </c>
      <c r="F341">
        <v>11.97</v>
      </c>
      <c r="G341" t="s">
        <v>510</v>
      </c>
      <c r="H341" t="s">
        <v>14</v>
      </c>
      <c r="I341" s="26"/>
    </row>
    <row r="342" spans="1:9" x14ac:dyDescent="0.2">
      <c r="A342">
        <v>327</v>
      </c>
      <c r="B342" t="s">
        <v>908</v>
      </c>
      <c r="C342" t="s">
        <v>909</v>
      </c>
      <c r="D342" t="s">
        <v>573</v>
      </c>
      <c r="E342" t="s">
        <v>910</v>
      </c>
      <c r="F342">
        <v>0</v>
      </c>
      <c r="G342" t="s">
        <v>574</v>
      </c>
      <c r="H342" t="s">
        <v>14</v>
      </c>
      <c r="I342" s="26">
        <v>42325</v>
      </c>
    </row>
    <row r="343" spans="1:9" x14ac:dyDescent="0.2">
      <c r="A343">
        <v>328</v>
      </c>
      <c r="B343" t="s">
        <v>911</v>
      </c>
      <c r="C343" t="s">
        <v>912</v>
      </c>
      <c r="D343" t="s">
        <v>573</v>
      </c>
      <c r="E343" t="s">
        <v>913</v>
      </c>
      <c r="F343">
        <v>200</v>
      </c>
      <c r="G343" t="s">
        <v>574</v>
      </c>
      <c r="H343" t="s">
        <v>14</v>
      </c>
      <c r="I343" s="26"/>
    </row>
    <row r="344" spans="1:9" x14ac:dyDescent="0.2">
      <c r="A344">
        <v>329</v>
      </c>
      <c r="B344" t="s">
        <v>914</v>
      </c>
      <c r="C344" t="s">
        <v>915</v>
      </c>
      <c r="D344" t="s">
        <v>118</v>
      </c>
      <c r="E344" t="s">
        <v>916</v>
      </c>
      <c r="F344">
        <v>1009</v>
      </c>
      <c r="G344" t="s">
        <v>120</v>
      </c>
      <c r="H344" t="s">
        <v>14</v>
      </c>
      <c r="I344" s="26"/>
    </row>
    <row r="345" spans="1:9" x14ac:dyDescent="0.2">
      <c r="A345">
        <v>330</v>
      </c>
      <c r="B345" t="s">
        <v>917</v>
      </c>
      <c r="C345" t="s">
        <v>918</v>
      </c>
      <c r="D345" t="s">
        <v>118</v>
      </c>
      <c r="E345" t="s">
        <v>919</v>
      </c>
      <c r="F345">
        <v>1300</v>
      </c>
      <c r="G345" t="s">
        <v>120</v>
      </c>
      <c r="H345" t="s">
        <v>14</v>
      </c>
      <c r="I345" s="26"/>
    </row>
    <row r="346" spans="1:9" x14ac:dyDescent="0.2">
      <c r="A346">
        <v>331</v>
      </c>
      <c r="B346" t="s">
        <v>920</v>
      </c>
      <c r="C346" t="s">
        <v>921</v>
      </c>
      <c r="D346" t="s">
        <v>118</v>
      </c>
      <c r="E346" t="s">
        <v>922</v>
      </c>
      <c r="F346">
        <v>1005</v>
      </c>
      <c r="G346" t="s">
        <v>120</v>
      </c>
      <c r="H346" t="s">
        <v>14</v>
      </c>
      <c r="I346" s="26"/>
    </row>
    <row r="347" spans="1:9" x14ac:dyDescent="0.2">
      <c r="A347">
        <v>332</v>
      </c>
      <c r="B347" t="s">
        <v>923</v>
      </c>
      <c r="C347" t="s">
        <v>915</v>
      </c>
      <c r="D347" t="s">
        <v>118</v>
      </c>
      <c r="E347" t="s">
        <v>924</v>
      </c>
      <c r="G347" t="s">
        <v>120</v>
      </c>
      <c r="H347" t="s">
        <v>14</v>
      </c>
      <c r="I347" s="26"/>
    </row>
    <row r="348" spans="1:9" x14ac:dyDescent="0.2">
      <c r="A348">
        <v>333</v>
      </c>
      <c r="B348" t="s">
        <v>925</v>
      </c>
      <c r="C348" t="s">
        <v>926</v>
      </c>
      <c r="D348" t="s">
        <v>573</v>
      </c>
      <c r="E348" t="s">
        <v>927</v>
      </c>
      <c r="G348" t="s">
        <v>574</v>
      </c>
      <c r="H348" t="s">
        <v>14</v>
      </c>
      <c r="I348" s="26"/>
    </row>
    <row r="349" spans="1:9" x14ac:dyDescent="0.2">
      <c r="A349">
        <v>334</v>
      </c>
      <c r="B349" t="s">
        <v>928</v>
      </c>
      <c r="C349" t="s">
        <v>929</v>
      </c>
      <c r="D349" t="s">
        <v>118</v>
      </c>
      <c r="E349" t="s">
        <v>930</v>
      </c>
      <c r="F349">
        <v>1414</v>
      </c>
      <c r="G349" t="s">
        <v>120</v>
      </c>
      <c r="H349" t="s">
        <v>14</v>
      </c>
      <c r="I349" s="26"/>
    </row>
    <row r="350" spans="1:9" x14ac:dyDescent="0.2">
      <c r="A350">
        <v>335</v>
      </c>
      <c r="B350" t="s">
        <v>931</v>
      </c>
      <c r="C350" t="s">
        <v>932</v>
      </c>
      <c r="D350" t="s">
        <v>118</v>
      </c>
      <c r="E350" t="s">
        <v>933</v>
      </c>
      <c r="F350">
        <v>572</v>
      </c>
      <c r="G350" t="s">
        <v>120</v>
      </c>
      <c r="H350" t="s">
        <v>14</v>
      </c>
      <c r="I350" s="26"/>
    </row>
    <row r="351" spans="1:9" x14ac:dyDescent="0.2">
      <c r="A351">
        <v>336</v>
      </c>
      <c r="B351" t="s">
        <v>934</v>
      </c>
      <c r="C351" t="s">
        <v>253</v>
      </c>
      <c r="D351" t="s">
        <v>118</v>
      </c>
      <c r="E351" t="s">
        <v>935</v>
      </c>
      <c r="F351">
        <v>0</v>
      </c>
      <c r="G351" t="s">
        <v>120</v>
      </c>
      <c r="H351" t="s">
        <v>14</v>
      </c>
      <c r="I351" s="26">
        <v>42433</v>
      </c>
    </row>
    <row r="352" spans="1:9" x14ac:dyDescent="0.2">
      <c r="A352">
        <v>337</v>
      </c>
      <c r="B352" t="s">
        <v>936</v>
      </c>
      <c r="C352" t="s">
        <v>937</v>
      </c>
      <c r="D352" t="s">
        <v>573</v>
      </c>
      <c r="E352" t="s">
        <v>938</v>
      </c>
      <c r="F352">
        <v>145.79</v>
      </c>
      <c r="G352" t="s">
        <v>574</v>
      </c>
      <c r="H352" t="s">
        <v>14</v>
      </c>
      <c r="I352" s="26"/>
    </row>
    <row r="353" spans="1:9" x14ac:dyDescent="0.2">
      <c r="A353">
        <v>338</v>
      </c>
      <c r="B353" t="s">
        <v>939</v>
      </c>
      <c r="C353" t="s">
        <v>940</v>
      </c>
      <c r="D353" t="s">
        <v>118</v>
      </c>
      <c r="E353" t="s">
        <v>941</v>
      </c>
      <c r="F353">
        <v>796</v>
      </c>
      <c r="G353" t="s">
        <v>120</v>
      </c>
      <c r="H353" t="s">
        <v>14</v>
      </c>
      <c r="I353" s="26">
        <v>42289</v>
      </c>
    </row>
    <row r="354" spans="1:9" x14ac:dyDescent="0.2">
      <c r="A354">
        <v>339</v>
      </c>
      <c r="B354" t="s">
        <v>942</v>
      </c>
      <c r="C354" t="s">
        <v>253</v>
      </c>
      <c r="D354" t="s">
        <v>118</v>
      </c>
      <c r="E354" t="s">
        <v>943</v>
      </c>
      <c r="F354">
        <v>0</v>
      </c>
      <c r="G354" t="s">
        <v>120</v>
      </c>
      <c r="H354" t="s">
        <v>14</v>
      </c>
      <c r="I354" s="26">
        <v>42289</v>
      </c>
    </row>
    <row r="355" spans="1:9" x14ac:dyDescent="0.2">
      <c r="A355">
        <v>340</v>
      </c>
      <c r="B355" t="s">
        <v>944</v>
      </c>
      <c r="C355" t="s">
        <v>945</v>
      </c>
      <c r="D355" t="s">
        <v>118</v>
      </c>
      <c r="E355" t="s">
        <v>946</v>
      </c>
      <c r="F355">
        <v>1445</v>
      </c>
      <c r="G355" t="s">
        <v>120</v>
      </c>
      <c r="H355" t="s">
        <v>14</v>
      </c>
      <c r="I355" s="26"/>
    </row>
    <row r="356" spans="1:9" x14ac:dyDescent="0.2">
      <c r="A356">
        <v>341</v>
      </c>
      <c r="B356" t="s">
        <v>947</v>
      </c>
      <c r="C356" t="s">
        <v>915</v>
      </c>
      <c r="D356" t="s">
        <v>118</v>
      </c>
      <c r="E356" t="s">
        <v>948</v>
      </c>
      <c r="G356" t="s">
        <v>120</v>
      </c>
      <c r="H356" t="s">
        <v>14</v>
      </c>
      <c r="I356" s="26"/>
    </row>
    <row r="357" spans="1:9" x14ac:dyDescent="0.2">
      <c r="A357">
        <v>342</v>
      </c>
      <c r="B357" t="s">
        <v>949</v>
      </c>
      <c r="C357" t="s">
        <v>950</v>
      </c>
      <c r="D357" t="s">
        <v>118</v>
      </c>
      <c r="E357" t="s">
        <v>951</v>
      </c>
      <c r="F357">
        <v>844</v>
      </c>
      <c r="G357" t="s">
        <v>120</v>
      </c>
      <c r="H357" t="s">
        <v>14</v>
      </c>
      <c r="I357" s="26">
        <v>43102</v>
      </c>
    </row>
    <row r="358" spans="1:9" x14ac:dyDescent="0.2">
      <c r="A358">
        <v>343</v>
      </c>
      <c r="B358" t="s">
        <v>952</v>
      </c>
      <c r="C358" t="s">
        <v>953</v>
      </c>
      <c r="D358" t="s">
        <v>118</v>
      </c>
      <c r="E358" t="s">
        <v>943</v>
      </c>
      <c r="F358">
        <v>0</v>
      </c>
      <c r="G358" t="s">
        <v>120</v>
      </c>
      <c r="H358" t="s">
        <v>14</v>
      </c>
      <c r="I358" s="26"/>
    </row>
    <row r="359" spans="1:9" x14ac:dyDescent="0.2">
      <c r="A359">
        <v>344</v>
      </c>
      <c r="B359" t="s">
        <v>954</v>
      </c>
      <c r="C359" t="s">
        <v>955</v>
      </c>
      <c r="D359" t="s">
        <v>118</v>
      </c>
      <c r="E359" t="s">
        <v>956</v>
      </c>
      <c r="G359" t="s">
        <v>120</v>
      </c>
      <c r="H359" t="s">
        <v>14</v>
      </c>
      <c r="I359" s="26"/>
    </row>
    <row r="360" spans="1:9" x14ac:dyDescent="0.2">
      <c r="A360">
        <v>345</v>
      </c>
      <c r="B360" t="s">
        <v>957</v>
      </c>
      <c r="C360" t="s">
        <v>958</v>
      </c>
      <c r="D360" t="s">
        <v>118</v>
      </c>
      <c r="E360" t="s">
        <v>959</v>
      </c>
      <c r="F360">
        <v>839</v>
      </c>
      <c r="G360" t="s">
        <v>120</v>
      </c>
      <c r="H360" t="s">
        <v>14</v>
      </c>
      <c r="I360" s="26"/>
    </row>
    <row r="361" spans="1:9" x14ac:dyDescent="0.2">
      <c r="A361">
        <v>346</v>
      </c>
      <c r="B361" t="s">
        <v>960</v>
      </c>
      <c r="C361" t="s">
        <v>961</v>
      </c>
      <c r="D361" t="s">
        <v>118</v>
      </c>
      <c r="E361" t="s">
        <v>946</v>
      </c>
      <c r="F361">
        <v>1319</v>
      </c>
      <c r="G361" t="s">
        <v>120</v>
      </c>
      <c r="H361" t="s">
        <v>14</v>
      </c>
      <c r="I361" s="26"/>
    </row>
    <row r="362" spans="1:9" x14ac:dyDescent="0.2">
      <c r="A362">
        <v>347</v>
      </c>
      <c r="B362" t="s">
        <v>962</v>
      </c>
      <c r="C362" t="s">
        <v>963</v>
      </c>
      <c r="D362" t="s">
        <v>118</v>
      </c>
      <c r="E362" t="s">
        <v>964</v>
      </c>
      <c r="F362">
        <v>1330</v>
      </c>
      <c r="G362" t="s">
        <v>120</v>
      </c>
      <c r="H362" t="s">
        <v>14</v>
      </c>
      <c r="I362" s="26"/>
    </row>
    <row r="363" spans="1:9" x14ac:dyDescent="0.2">
      <c r="A363">
        <v>348</v>
      </c>
      <c r="B363" t="s">
        <v>965</v>
      </c>
      <c r="C363" t="s">
        <v>966</v>
      </c>
      <c r="D363" t="s">
        <v>118</v>
      </c>
      <c r="E363" t="s">
        <v>967</v>
      </c>
      <c r="F363">
        <v>1923</v>
      </c>
      <c r="G363" t="s">
        <v>120</v>
      </c>
      <c r="H363" t="s">
        <v>14</v>
      </c>
      <c r="I363" s="26"/>
    </row>
    <row r="364" spans="1:9" x14ac:dyDescent="0.2">
      <c r="A364">
        <v>349</v>
      </c>
      <c r="B364" t="s">
        <v>968</v>
      </c>
      <c r="C364" t="s">
        <v>966</v>
      </c>
      <c r="D364" t="s">
        <v>118</v>
      </c>
      <c r="E364" t="s">
        <v>969</v>
      </c>
      <c r="F364">
        <v>2138.4</v>
      </c>
      <c r="G364" t="s">
        <v>120</v>
      </c>
      <c r="H364" t="s">
        <v>14</v>
      </c>
      <c r="I364" s="26">
        <v>42290</v>
      </c>
    </row>
    <row r="365" spans="1:9" x14ac:dyDescent="0.2">
      <c r="A365">
        <v>350</v>
      </c>
      <c r="B365" t="s">
        <v>970</v>
      </c>
      <c r="C365" t="s">
        <v>971</v>
      </c>
      <c r="D365" t="s">
        <v>118</v>
      </c>
      <c r="E365" t="s">
        <v>972</v>
      </c>
      <c r="F365">
        <v>0</v>
      </c>
      <c r="G365" t="s">
        <v>120</v>
      </c>
      <c r="H365" t="s">
        <v>14</v>
      </c>
      <c r="I365" s="26">
        <v>42290</v>
      </c>
    </row>
    <row r="366" spans="1:9" x14ac:dyDescent="0.2">
      <c r="A366">
        <v>351</v>
      </c>
      <c r="B366" t="s">
        <v>973</v>
      </c>
      <c r="C366" t="s">
        <v>974</v>
      </c>
      <c r="D366" t="s">
        <v>118</v>
      </c>
      <c r="E366" t="s">
        <v>972</v>
      </c>
      <c r="F366">
        <v>0</v>
      </c>
      <c r="G366" t="s">
        <v>120</v>
      </c>
      <c r="H366" t="s">
        <v>14</v>
      </c>
      <c r="I366" s="26">
        <v>42290</v>
      </c>
    </row>
    <row r="367" spans="1:9" x14ac:dyDescent="0.2">
      <c r="A367">
        <v>352</v>
      </c>
      <c r="B367" t="s">
        <v>975</v>
      </c>
      <c r="C367" t="s">
        <v>976</v>
      </c>
      <c r="D367" t="s">
        <v>118</v>
      </c>
      <c r="E367" t="s">
        <v>972</v>
      </c>
      <c r="F367">
        <v>0</v>
      </c>
      <c r="G367" t="s">
        <v>120</v>
      </c>
      <c r="H367" t="s">
        <v>14</v>
      </c>
      <c r="I367" s="26">
        <v>42290</v>
      </c>
    </row>
    <row r="368" spans="1:9" x14ac:dyDescent="0.2">
      <c r="A368">
        <v>353</v>
      </c>
      <c r="B368" t="s">
        <v>977</v>
      </c>
      <c r="C368" t="s">
        <v>978</v>
      </c>
      <c r="D368" t="s">
        <v>118</v>
      </c>
      <c r="E368" t="s">
        <v>979</v>
      </c>
      <c r="F368">
        <v>834</v>
      </c>
      <c r="G368" t="s">
        <v>120</v>
      </c>
      <c r="H368" t="s">
        <v>14</v>
      </c>
      <c r="I368" s="26">
        <v>42290</v>
      </c>
    </row>
    <row r="369" spans="1:9" x14ac:dyDescent="0.2">
      <c r="A369">
        <v>354</v>
      </c>
      <c r="B369" t="s">
        <v>980</v>
      </c>
      <c r="C369" t="s">
        <v>253</v>
      </c>
      <c r="D369" t="s">
        <v>118</v>
      </c>
      <c r="E369" t="s">
        <v>943</v>
      </c>
      <c r="F369">
        <v>0</v>
      </c>
      <c r="G369" t="s">
        <v>120</v>
      </c>
      <c r="H369" t="s">
        <v>14</v>
      </c>
      <c r="I369" s="26">
        <v>42290</v>
      </c>
    </row>
    <row r="370" spans="1:9" x14ac:dyDescent="0.2">
      <c r="A370">
        <v>355</v>
      </c>
      <c r="B370" t="s">
        <v>981</v>
      </c>
      <c r="C370" t="s">
        <v>982</v>
      </c>
      <c r="D370" t="s">
        <v>30</v>
      </c>
      <c r="E370" t="s">
        <v>983</v>
      </c>
      <c r="F370">
        <v>4596</v>
      </c>
      <c r="G370" t="s">
        <v>32</v>
      </c>
      <c r="H370" t="s">
        <v>14</v>
      </c>
      <c r="I370" s="26"/>
    </row>
    <row r="371" spans="1:9" x14ac:dyDescent="0.2">
      <c r="A371">
        <v>356</v>
      </c>
      <c r="B371" t="s">
        <v>984</v>
      </c>
      <c r="C371" t="s">
        <v>985</v>
      </c>
      <c r="D371" t="s">
        <v>30</v>
      </c>
      <c r="E371" t="s">
        <v>986</v>
      </c>
      <c r="F371">
        <v>4596</v>
      </c>
      <c r="G371" t="s">
        <v>32</v>
      </c>
      <c r="H371" t="s">
        <v>14</v>
      </c>
      <c r="I371" s="26"/>
    </row>
    <row r="372" spans="1:9" x14ac:dyDescent="0.2">
      <c r="A372">
        <v>357</v>
      </c>
      <c r="B372" t="s">
        <v>987</v>
      </c>
      <c r="C372" t="s">
        <v>988</v>
      </c>
      <c r="D372" t="s">
        <v>30</v>
      </c>
      <c r="E372" t="s">
        <v>989</v>
      </c>
      <c r="F372">
        <v>221.71</v>
      </c>
      <c r="G372" t="s">
        <v>32</v>
      </c>
      <c r="H372" t="s">
        <v>14</v>
      </c>
      <c r="I372" s="26"/>
    </row>
    <row r="373" spans="1:9" x14ac:dyDescent="0.2">
      <c r="A373">
        <v>358</v>
      </c>
      <c r="B373" t="s">
        <v>990</v>
      </c>
      <c r="C373" t="s">
        <v>991</v>
      </c>
      <c r="D373" t="s">
        <v>30</v>
      </c>
      <c r="E373" t="s">
        <v>992</v>
      </c>
      <c r="F373">
        <v>121.33</v>
      </c>
      <c r="G373" t="s">
        <v>32</v>
      </c>
      <c r="H373" t="s">
        <v>14</v>
      </c>
      <c r="I373" s="26"/>
    </row>
    <row r="374" spans="1:9" x14ac:dyDescent="0.2">
      <c r="A374">
        <v>359</v>
      </c>
      <c r="B374" t="s">
        <v>993</v>
      </c>
      <c r="C374" t="s">
        <v>994</v>
      </c>
      <c r="D374" t="s">
        <v>30</v>
      </c>
      <c r="E374" t="s">
        <v>995</v>
      </c>
      <c r="F374">
        <v>270.12</v>
      </c>
      <c r="G374" t="s">
        <v>32</v>
      </c>
      <c r="H374" t="s">
        <v>14</v>
      </c>
      <c r="I374" s="26"/>
    </row>
    <row r="375" spans="1:9" x14ac:dyDescent="0.2">
      <c r="A375">
        <v>360</v>
      </c>
      <c r="B375" t="s">
        <v>996</v>
      </c>
      <c r="C375" t="s">
        <v>997</v>
      </c>
      <c r="D375" t="s">
        <v>118</v>
      </c>
      <c r="E375" t="s">
        <v>998</v>
      </c>
      <c r="F375">
        <v>2835</v>
      </c>
      <c r="G375" t="s">
        <v>120</v>
      </c>
      <c r="H375" t="s">
        <v>14</v>
      </c>
      <c r="I375" s="26"/>
    </row>
    <row r="376" spans="1:9" x14ac:dyDescent="0.2">
      <c r="A376">
        <v>361</v>
      </c>
      <c r="B376" t="s">
        <v>999</v>
      </c>
      <c r="C376" t="s">
        <v>1000</v>
      </c>
      <c r="D376" t="s">
        <v>118</v>
      </c>
      <c r="E376" t="s">
        <v>1001</v>
      </c>
      <c r="F376">
        <v>421</v>
      </c>
      <c r="G376" t="s">
        <v>120</v>
      </c>
      <c r="H376" t="s">
        <v>14</v>
      </c>
      <c r="I376" s="26"/>
    </row>
    <row r="377" spans="1:9" x14ac:dyDescent="0.2">
      <c r="A377">
        <v>362</v>
      </c>
      <c r="B377" t="s">
        <v>1002</v>
      </c>
      <c r="C377" t="s">
        <v>1003</v>
      </c>
      <c r="D377" t="s">
        <v>118</v>
      </c>
      <c r="E377" t="s">
        <v>1004</v>
      </c>
      <c r="F377">
        <v>429</v>
      </c>
      <c r="G377" t="s">
        <v>120</v>
      </c>
      <c r="H377" t="s">
        <v>14</v>
      </c>
      <c r="I377" s="26"/>
    </row>
    <row r="378" spans="1:9" x14ac:dyDescent="0.2">
      <c r="A378">
        <v>363</v>
      </c>
      <c r="B378" t="s">
        <v>1005</v>
      </c>
      <c r="C378" t="s">
        <v>1006</v>
      </c>
      <c r="D378" t="s">
        <v>118</v>
      </c>
      <c r="E378" t="s">
        <v>1004</v>
      </c>
      <c r="F378">
        <v>429</v>
      </c>
      <c r="G378" t="s">
        <v>120</v>
      </c>
      <c r="H378" t="s">
        <v>14</v>
      </c>
      <c r="I378" s="26"/>
    </row>
    <row r="379" spans="1:9" x14ac:dyDescent="0.2">
      <c r="A379">
        <v>364</v>
      </c>
      <c r="B379" t="s">
        <v>1007</v>
      </c>
      <c r="C379" t="s">
        <v>1008</v>
      </c>
      <c r="D379" t="s">
        <v>118</v>
      </c>
      <c r="E379" t="s">
        <v>1009</v>
      </c>
      <c r="F379">
        <v>365</v>
      </c>
      <c r="G379" t="s">
        <v>120</v>
      </c>
      <c r="H379" t="s">
        <v>14</v>
      </c>
      <c r="I379" s="26"/>
    </row>
    <row r="380" spans="1:9" x14ac:dyDescent="0.2">
      <c r="A380">
        <v>365</v>
      </c>
      <c r="B380" t="s">
        <v>1010</v>
      </c>
      <c r="C380" t="s">
        <v>1011</v>
      </c>
      <c r="D380" t="s">
        <v>118</v>
      </c>
      <c r="E380" t="s">
        <v>1009</v>
      </c>
      <c r="F380">
        <v>365</v>
      </c>
      <c r="G380" t="s">
        <v>120</v>
      </c>
      <c r="H380" t="s">
        <v>14</v>
      </c>
      <c r="I380" s="26"/>
    </row>
    <row r="381" spans="1:9" x14ac:dyDescent="0.2">
      <c r="A381">
        <v>366</v>
      </c>
      <c r="B381" t="s">
        <v>1012</v>
      </c>
      <c r="C381" t="s">
        <v>1013</v>
      </c>
      <c r="D381" t="s">
        <v>118</v>
      </c>
      <c r="E381" t="s">
        <v>1014</v>
      </c>
      <c r="F381">
        <v>713</v>
      </c>
      <c r="G381" t="s">
        <v>120</v>
      </c>
      <c r="H381" t="s">
        <v>14</v>
      </c>
      <c r="I381" s="26"/>
    </row>
    <row r="382" spans="1:9" x14ac:dyDescent="0.2">
      <c r="A382">
        <v>367</v>
      </c>
      <c r="B382" t="s">
        <v>1015</v>
      </c>
      <c r="C382" t="s">
        <v>1016</v>
      </c>
      <c r="D382" t="s">
        <v>118</v>
      </c>
      <c r="E382" t="s">
        <v>1017</v>
      </c>
      <c r="F382">
        <v>2167</v>
      </c>
      <c r="G382" t="s">
        <v>120</v>
      </c>
      <c r="H382" t="s">
        <v>14</v>
      </c>
      <c r="I382" s="26"/>
    </row>
    <row r="383" spans="1:9" x14ac:dyDescent="0.2">
      <c r="A383">
        <v>368</v>
      </c>
      <c r="B383" t="s">
        <v>1018</v>
      </c>
      <c r="C383" t="s">
        <v>1019</v>
      </c>
      <c r="D383" t="s">
        <v>118</v>
      </c>
      <c r="E383" t="s">
        <v>1020</v>
      </c>
      <c r="F383">
        <v>774</v>
      </c>
      <c r="G383" t="s">
        <v>120</v>
      </c>
      <c r="H383" t="s">
        <v>14</v>
      </c>
      <c r="I383" s="26"/>
    </row>
    <row r="384" spans="1:9" x14ac:dyDescent="0.2">
      <c r="A384">
        <v>369</v>
      </c>
      <c r="B384" t="s">
        <v>1021</v>
      </c>
      <c r="C384" t="s">
        <v>1022</v>
      </c>
      <c r="D384" t="s">
        <v>118</v>
      </c>
      <c r="E384" t="s">
        <v>1023</v>
      </c>
      <c r="F384">
        <v>1681</v>
      </c>
      <c r="G384" t="s">
        <v>120</v>
      </c>
      <c r="H384" t="s">
        <v>14</v>
      </c>
      <c r="I384" s="26">
        <v>43111</v>
      </c>
    </row>
    <row r="385" spans="1:9" x14ac:dyDescent="0.2">
      <c r="A385">
        <v>370</v>
      </c>
      <c r="B385" t="s">
        <v>1024</v>
      </c>
      <c r="C385" t="s">
        <v>1025</v>
      </c>
      <c r="D385" t="s">
        <v>35</v>
      </c>
      <c r="E385" t="s">
        <v>1026</v>
      </c>
      <c r="F385">
        <v>4.93</v>
      </c>
      <c r="G385" t="s">
        <v>37</v>
      </c>
      <c r="H385" t="s">
        <v>14</v>
      </c>
      <c r="I385" s="26"/>
    </row>
    <row r="386" spans="1:9" x14ac:dyDescent="0.2">
      <c r="A386">
        <v>371</v>
      </c>
      <c r="B386" t="s">
        <v>1027</v>
      </c>
      <c r="C386" t="s">
        <v>1028</v>
      </c>
      <c r="D386" t="s">
        <v>1029</v>
      </c>
      <c r="E386" t="s">
        <v>1030</v>
      </c>
      <c r="F386">
        <v>25.06</v>
      </c>
      <c r="G386" t="s">
        <v>1031</v>
      </c>
      <c r="H386" t="s">
        <v>14</v>
      </c>
      <c r="I386" s="26"/>
    </row>
    <row r="387" spans="1:9" x14ac:dyDescent="0.2">
      <c r="A387">
        <v>372</v>
      </c>
      <c r="B387" t="s">
        <v>1032</v>
      </c>
      <c r="C387" t="s">
        <v>1033</v>
      </c>
      <c r="D387" t="s">
        <v>508</v>
      </c>
      <c r="E387" t="s">
        <v>1034</v>
      </c>
      <c r="F387">
        <v>8.06</v>
      </c>
      <c r="G387" t="s">
        <v>510</v>
      </c>
      <c r="H387" t="s">
        <v>14</v>
      </c>
      <c r="I387" s="26">
        <v>42289</v>
      </c>
    </row>
    <row r="388" spans="1:9" x14ac:dyDescent="0.2">
      <c r="A388">
        <v>373</v>
      </c>
      <c r="B388" t="s">
        <v>1035</v>
      </c>
      <c r="C388" t="s">
        <v>1036</v>
      </c>
      <c r="D388" t="s">
        <v>1037</v>
      </c>
      <c r="E388" t="s">
        <v>1038</v>
      </c>
      <c r="F388">
        <v>12.04</v>
      </c>
      <c r="G388" t="s">
        <v>1039</v>
      </c>
      <c r="H388" t="s">
        <v>14</v>
      </c>
      <c r="I388" s="26">
        <v>42615</v>
      </c>
    </row>
    <row r="389" spans="1:9" x14ac:dyDescent="0.2">
      <c r="A389">
        <v>374</v>
      </c>
      <c r="B389" t="s">
        <v>1040</v>
      </c>
      <c r="C389" t="s">
        <v>1041</v>
      </c>
      <c r="D389" t="s">
        <v>35</v>
      </c>
      <c r="E389" t="s">
        <v>1042</v>
      </c>
      <c r="F389">
        <v>3.07</v>
      </c>
      <c r="G389" t="s">
        <v>37</v>
      </c>
      <c r="H389" t="s">
        <v>14</v>
      </c>
      <c r="I389" s="26">
        <v>42289</v>
      </c>
    </row>
    <row r="390" spans="1:9" x14ac:dyDescent="0.2">
      <c r="A390">
        <v>375</v>
      </c>
      <c r="B390" t="s">
        <v>1043</v>
      </c>
      <c r="C390" t="s">
        <v>1044</v>
      </c>
      <c r="D390" t="s">
        <v>35</v>
      </c>
      <c r="E390" t="s">
        <v>1045</v>
      </c>
      <c r="F390">
        <v>4.7</v>
      </c>
      <c r="G390" t="s">
        <v>37</v>
      </c>
      <c r="H390" t="s">
        <v>14</v>
      </c>
      <c r="I390" s="26">
        <v>42290</v>
      </c>
    </row>
    <row r="391" spans="1:9" x14ac:dyDescent="0.2">
      <c r="A391">
        <v>376</v>
      </c>
      <c r="B391" t="s">
        <v>1046</v>
      </c>
      <c r="C391" t="s">
        <v>1047</v>
      </c>
      <c r="D391" t="s">
        <v>35</v>
      </c>
      <c r="E391" t="s">
        <v>1048</v>
      </c>
      <c r="F391">
        <v>3.57</v>
      </c>
      <c r="G391" t="s">
        <v>37</v>
      </c>
      <c r="H391" t="s">
        <v>14</v>
      </c>
      <c r="I391" s="26">
        <v>42290</v>
      </c>
    </row>
    <row r="392" spans="1:9" x14ac:dyDescent="0.2">
      <c r="A392">
        <v>377</v>
      </c>
      <c r="B392" t="s">
        <v>1049</v>
      </c>
      <c r="C392" t="s">
        <v>1050</v>
      </c>
      <c r="D392" t="s">
        <v>1029</v>
      </c>
      <c r="E392" t="s">
        <v>1051</v>
      </c>
      <c r="F392">
        <v>83.44</v>
      </c>
      <c r="G392" t="s">
        <v>1031</v>
      </c>
      <c r="H392" t="s">
        <v>14</v>
      </c>
      <c r="I392" s="26">
        <v>42530</v>
      </c>
    </row>
    <row r="393" spans="1:9" x14ac:dyDescent="0.2">
      <c r="A393">
        <v>378</v>
      </c>
      <c r="B393" t="s">
        <v>1052</v>
      </c>
      <c r="C393" t="s">
        <v>1053</v>
      </c>
      <c r="D393" t="s">
        <v>1029</v>
      </c>
      <c r="E393" t="s">
        <v>1054</v>
      </c>
      <c r="F393">
        <v>0</v>
      </c>
      <c r="G393" t="s">
        <v>1031</v>
      </c>
      <c r="H393" t="s">
        <v>14</v>
      </c>
      <c r="I393" s="26">
        <v>42530</v>
      </c>
    </row>
    <row r="394" spans="1:9" x14ac:dyDescent="0.2">
      <c r="A394">
        <v>379</v>
      </c>
      <c r="B394" t="s">
        <v>1055</v>
      </c>
      <c r="C394" t="s">
        <v>1056</v>
      </c>
      <c r="D394" t="s">
        <v>508</v>
      </c>
      <c r="E394" t="s">
        <v>1057</v>
      </c>
      <c r="F394">
        <v>6.02</v>
      </c>
      <c r="G394" t="s">
        <v>510</v>
      </c>
      <c r="H394" t="s">
        <v>14</v>
      </c>
      <c r="I394" s="26"/>
    </row>
    <row r="395" spans="1:9" x14ac:dyDescent="0.2">
      <c r="A395">
        <v>380</v>
      </c>
      <c r="B395" t="s">
        <v>1058</v>
      </c>
      <c r="C395" t="s">
        <v>1059</v>
      </c>
      <c r="D395" t="s">
        <v>508</v>
      </c>
      <c r="E395" t="s">
        <v>1060</v>
      </c>
      <c r="F395">
        <v>6.28</v>
      </c>
      <c r="G395" t="s">
        <v>510</v>
      </c>
      <c r="H395" t="s">
        <v>14</v>
      </c>
      <c r="I395" s="26">
        <v>42339</v>
      </c>
    </row>
    <row r="396" spans="1:9" x14ac:dyDescent="0.2">
      <c r="A396">
        <v>381</v>
      </c>
      <c r="B396" t="s">
        <v>1061</v>
      </c>
      <c r="C396" t="s">
        <v>1062</v>
      </c>
      <c r="D396" t="s">
        <v>508</v>
      </c>
      <c r="E396" t="s">
        <v>1063</v>
      </c>
      <c r="F396">
        <v>7.95</v>
      </c>
      <c r="G396" t="s">
        <v>510</v>
      </c>
      <c r="H396" t="s">
        <v>14</v>
      </c>
      <c r="I396" s="26">
        <v>42289</v>
      </c>
    </row>
    <row r="397" spans="1:9" x14ac:dyDescent="0.2">
      <c r="A397">
        <v>382</v>
      </c>
      <c r="B397" t="s">
        <v>1064</v>
      </c>
      <c r="C397" t="s">
        <v>1065</v>
      </c>
      <c r="D397" t="s">
        <v>508</v>
      </c>
      <c r="E397" t="s">
        <v>1066</v>
      </c>
      <c r="F397">
        <v>11.6</v>
      </c>
      <c r="G397" t="s">
        <v>510</v>
      </c>
      <c r="H397" t="s">
        <v>14</v>
      </c>
      <c r="I397" s="26">
        <v>42290</v>
      </c>
    </row>
    <row r="398" spans="1:9" x14ac:dyDescent="0.2">
      <c r="A398">
        <v>383</v>
      </c>
      <c r="B398" t="s">
        <v>1067</v>
      </c>
      <c r="C398" t="s">
        <v>1068</v>
      </c>
      <c r="D398" t="s">
        <v>1069</v>
      </c>
      <c r="E398" t="s">
        <v>1070</v>
      </c>
      <c r="F398">
        <v>12.99</v>
      </c>
      <c r="G398" t="s">
        <v>1071</v>
      </c>
      <c r="H398" t="s">
        <v>14</v>
      </c>
      <c r="I398" s="26"/>
    </row>
    <row r="399" spans="1:9" x14ac:dyDescent="0.2">
      <c r="A399">
        <v>384</v>
      </c>
      <c r="B399" t="s">
        <v>1072</v>
      </c>
      <c r="C399" t="s">
        <v>1073</v>
      </c>
      <c r="D399" t="s">
        <v>1069</v>
      </c>
      <c r="E399" t="s">
        <v>1074</v>
      </c>
      <c r="F399">
        <v>11.023999999999999</v>
      </c>
      <c r="G399" t="s">
        <v>1071</v>
      </c>
      <c r="H399" t="s">
        <v>14</v>
      </c>
      <c r="I399" s="26"/>
    </row>
    <row r="400" spans="1:9" x14ac:dyDescent="0.2">
      <c r="A400">
        <v>385</v>
      </c>
      <c r="B400" t="s">
        <v>1075</v>
      </c>
      <c r="C400" t="s">
        <v>1076</v>
      </c>
      <c r="D400" t="s">
        <v>1069</v>
      </c>
      <c r="E400" t="s">
        <v>1077</v>
      </c>
      <c r="F400">
        <v>12.99</v>
      </c>
      <c r="G400" t="s">
        <v>1071</v>
      </c>
      <c r="H400" t="s">
        <v>14</v>
      </c>
      <c r="I400" s="26"/>
    </row>
    <row r="401" spans="1:9" x14ac:dyDescent="0.2">
      <c r="A401">
        <v>386</v>
      </c>
      <c r="B401" t="s">
        <v>1078</v>
      </c>
      <c r="C401" t="s">
        <v>1079</v>
      </c>
      <c r="D401" t="s">
        <v>1069</v>
      </c>
      <c r="E401" t="s">
        <v>1078</v>
      </c>
      <c r="F401">
        <v>15.16</v>
      </c>
      <c r="G401" t="s">
        <v>1071</v>
      </c>
      <c r="H401" t="s">
        <v>14</v>
      </c>
      <c r="I401" s="26">
        <v>42339</v>
      </c>
    </row>
    <row r="402" spans="1:9" x14ac:dyDescent="0.2">
      <c r="A402">
        <v>387</v>
      </c>
      <c r="B402" t="s">
        <v>1080</v>
      </c>
      <c r="C402" t="s">
        <v>1081</v>
      </c>
      <c r="D402" t="s">
        <v>1069</v>
      </c>
      <c r="E402" t="s">
        <v>1082</v>
      </c>
      <c r="F402">
        <v>15.16</v>
      </c>
      <c r="G402" t="s">
        <v>1071</v>
      </c>
      <c r="H402" t="s">
        <v>14</v>
      </c>
      <c r="I402" s="26">
        <v>42339</v>
      </c>
    </row>
    <row r="403" spans="1:9" x14ac:dyDescent="0.2">
      <c r="A403">
        <v>388</v>
      </c>
      <c r="B403" t="s">
        <v>1083</v>
      </c>
      <c r="C403" t="s">
        <v>1084</v>
      </c>
      <c r="D403" t="s">
        <v>754</v>
      </c>
      <c r="E403" t="s">
        <v>1085</v>
      </c>
      <c r="F403">
        <v>17.84</v>
      </c>
      <c r="G403" t="s">
        <v>756</v>
      </c>
      <c r="H403" t="s">
        <v>14</v>
      </c>
      <c r="I403" s="26">
        <v>42677</v>
      </c>
    </row>
    <row r="404" spans="1:9" x14ac:dyDescent="0.2">
      <c r="A404">
        <v>389</v>
      </c>
      <c r="B404" t="s">
        <v>1086</v>
      </c>
      <c r="C404" t="s">
        <v>1087</v>
      </c>
      <c r="D404" t="s">
        <v>754</v>
      </c>
      <c r="E404" t="s">
        <v>1088</v>
      </c>
      <c r="F404">
        <v>26.62</v>
      </c>
      <c r="G404" t="s">
        <v>756</v>
      </c>
      <c r="H404" t="s">
        <v>14</v>
      </c>
      <c r="I404" s="26">
        <v>42850</v>
      </c>
    </row>
    <row r="405" spans="1:9" x14ac:dyDescent="0.2">
      <c r="A405">
        <v>390</v>
      </c>
      <c r="B405" t="s">
        <v>1089</v>
      </c>
      <c r="C405" t="s">
        <v>1090</v>
      </c>
      <c r="D405" t="s">
        <v>1091</v>
      </c>
      <c r="E405" t="s">
        <v>1092</v>
      </c>
      <c r="F405">
        <v>36.29</v>
      </c>
      <c r="G405" t="s">
        <v>1093</v>
      </c>
      <c r="H405" t="s">
        <v>14</v>
      </c>
      <c r="I405" s="26">
        <v>43217</v>
      </c>
    </row>
    <row r="406" spans="1:9" x14ac:dyDescent="0.2">
      <c r="A406">
        <v>391</v>
      </c>
      <c r="B406" t="s">
        <v>1094</v>
      </c>
      <c r="C406" t="s">
        <v>1095</v>
      </c>
      <c r="D406" t="s">
        <v>4560</v>
      </c>
      <c r="E406" t="s">
        <v>1096</v>
      </c>
      <c r="F406">
        <v>105.9</v>
      </c>
      <c r="G406" t="s">
        <v>1097</v>
      </c>
      <c r="H406" t="s">
        <v>14</v>
      </c>
      <c r="I406" s="26"/>
    </row>
    <row r="407" spans="1:9" x14ac:dyDescent="0.2">
      <c r="A407">
        <v>392</v>
      </c>
      <c r="B407" t="s">
        <v>1098</v>
      </c>
      <c r="C407" t="s">
        <v>1099</v>
      </c>
      <c r="D407" t="s">
        <v>123</v>
      </c>
      <c r="E407" t="s">
        <v>1098</v>
      </c>
      <c r="F407">
        <v>295</v>
      </c>
      <c r="G407" t="s">
        <v>125</v>
      </c>
      <c r="H407" t="s">
        <v>14</v>
      </c>
      <c r="I407" s="26">
        <v>42290</v>
      </c>
    </row>
    <row r="408" spans="1:9" x14ac:dyDescent="0.2">
      <c r="A408">
        <v>393</v>
      </c>
      <c r="B408" t="s">
        <v>1100</v>
      </c>
      <c r="C408" t="s">
        <v>1101</v>
      </c>
      <c r="D408" t="s">
        <v>123</v>
      </c>
      <c r="E408" t="s">
        <v>1102</v>
      </c>
      <c r="F408">
        <v>0</v>
      </c>
      <c r="G408" t="s">
        <v>125</v>
      </c>
      <c r="H408" t="s">
        <v>14</v>
      </c>
      <c r="I408" s="26"/>
    </row>
    <row r="409" spans="1:9" x14ac:dyDescent="0.2">
      <c r="A409">
        <v>394</v>
      </c>
      <c r="B409" t="s">
        <v>1103</v>
      </c>
      <c r="C409" t="s">
        <v>1104</v>
      </c>
      <c r="D409" t="s">
        <v>1029</v>
      </c>
      <c r="E409" t="s">
        <v>1105</v>
      </c>
      <c r="F409">
        <v>43.24</v>
      </c>
      <c r="G409" t="s">
        <v>1031</v>
      </c>
      <c r="H409" t="s">
        <v>14</v>
      </c>
      <c r="I409" s="26">
        <v>42339</v>
      </c>
    </row>
    <row r="410" spans="1:9" x14ac:dyDescent="0.2">
      <c r="A410">
        <v>395</v>
      </c>
      <c r="B410" t="s">
        <v>1106</v>
      </c>
      <c r="C410" t="s">
        <v>275</v>
      </c>
      <c r="D410" t="s">
        <v>1029</v>
      </c>
      <c r="E410" t="s">
        <v>1107</v>
      </c>
      <c r="F410">
        <v>0</v>
      </c>
      <c r="G410" t="s">
        <v>1031</v>
      </c>
      <c r="H410" t="s">
        <v>14</v>
      </c>
      <c r="I410" s="26">
        <v>42289</v>
      </c>
    </row>
    <row r="411" spans="1:9" x14ac:dyDescent="0.2">
      <c r="A411">
        <v>396</v>
      </c>
      <c r="B411" t="s">
        <v>4496</v>
      </c>
      <c r="C411" t="s">
        <v>4497</v>
      </c>
      <c r="D411" t="s">
        <v>1029</v>
      </c>
      <c r="E411" t="s">
        <v>14</v>
      </c>
      <c r="G411" t="s">
        <v>1031</v>
      </c>
      <c r="H411" t="s">
        <v>14</v>
      </c>
      <c r="I411" s="26"/>
    </row>
    <row r="412" spans="1:9" x14ac:dyDescent="0.2">
      <c r="A412">
        <v>397</v>
      </c>
      <c r="B412" t="s">
        <v>1108</v>
      </c>
      <c r="C412" t="s">
        <v>1109</v>
      </c>
      <c r="D412" t="s">
        <v>1029</v>
      </c>
      <c r="E412" t="s">
        <v>1110</v>
      </c>
      <c r="F412">
        <v>70.98</v>
      </c>
      <c r="G412" t="s">
        <v>1031</v>
      </c>
      <c r="H412" t="s">
        <v>14</v>
      </c>
      <c r="I412" s="26"/>
    </row>
    <row r="413" spans="1:9" x14ac:dyDescent="0.2">
      <c r="A413">
        <v>398</v>
      </c>
      <c r="B413" t="s">
        <v>1111</v>
      </c>
      <c r="C413" t="s">
        <v>1112</v>
      </c>
      <c r="D413" t="s">
        <v>1029</v>
      </c>
      <c r="E413" t="s">
        <v>1113</v>
      </c>
      <c r="F413">
        <v>88</v>
      </c>
      <c r="G413" t="s">
        <v>1031</v>
      </c>
      <c r="H413" t="s">
        <v>14</v>
      </c>
      <c r="I413" s="26">
        <v>42366</v>
      </c>
    </row>
    <row r="414" spans="1:9" x14ac:dyDescent="0.2">
      <c r="A414">
        <v>399</v>
      </c>
      <c r="B414" t="s">
        <v>1114</v>
      </c>
      <c r="C414" t="s">
        <v>1115</v>
      </c>
      <c r="D414" t="s">
        <v>1029</v>
      </c>
      <c r="E414" t="s">
        <v>1116</v>
      </c>
      <c r="F414">
        <v>69.09</v>
      </c>
      <c r="G414" t="s">
        <v>1031</v>
      </c>
      <c r="H414" t="s">
        <v>14</v>
      </c>
      <c r="I414" s="26">
        <v>42474</v>
      </c>
    </row>
    <row r="415" spans="1:9" x14ac:dyDescent="0.2">
      <c r="A415">
        <v>400</v>
      </c>
      <c r="B415" t="s">
        <v>1117</v>
      </c>
      <c r="C415" t="s">
        <v>1118</v>
      </c>
      <c r="D415" t="s">
        <v>1029</v>
      </c>
      <c r="E415" t="s">
        <v>1119</v>
      </c>
      <c r="F415">
        <v>0</v>
      </c>
      <c r="G415" t="s">
        <v>1031</v>
      </c>
      <c r="H415" t="s">
        <v>14</v>
      </c>
      <c r="I415" s="26">
        <v>42474</v>
      </c>
    </row>
    <row r="416" spans="1:9" x14ac:dyDescent="0.2">
      <c r="A416">
        <v>401</v>
      </c>
      <c r="B416" t="s">
        <v>1120</v>
      </c>
      <c r="C416" t="s">
        <v>1121</v>
      </c>
      <c r="D416" t="s">
        <v>1029</v>
      </c>
      <c r="E416" t="s">
        <v>1122</v>
      </c>
      <c r="F416">
        <v>31.35</v>
      </c>
      <c r="G416" t="s">
        <v>1031</v>
      </c>
      <c r="H416" t="s">
        <v>14</v>
      </c>
      <c r="I416" s="26"/>
    </row>
    <row r="417" spans="1:9" x14ac:dyDescent="0.2">
      <c r="A417">
        <v>402</v>
      </c>
      <c r="B417" t="s">
        <v>1123</v>
      </c>
      <c r="C417" t="s">
        <v>1124</v>
      </c>
      <c r="D417" t="s">
        <v>1029</v>
      </c>
      <c r="E417" t="s">
        <v>1125</v>
      </c>
      <c r="F417">
        <v>93.84</v>
      </c>
      <c r="G417" t="s">
        <v>1031</v>
      </c>
      <c r="H417" t="s">
        <v>14</v>
      </c>
      <c r="I417" s="26">
        <v>42290</v>
      </c>
    </row>
    <row r="418" spans="1:9" x14ac:dyDescent="0.2">
      <c r="A418">
        <v>403</v>
      </c>
      <c r="B418" t="s">
        <v>1126</v>
      </c>
      <c r="C418" t="s">
        <v>1124</v>
      </c>
      <c r="D418" t="s">
        <v>1029</v>
      </c>
      <c r="E418" t="s">
        <v>1127</v>
      </c>
      <c r="F418">
        <v>92.42</v>
      </c>
      <c r="G418" t="s">
        <v>1031</v>
      </c>
      <c r="H418" t="s">
        <v>14</v>
      </c>
      <c r="I418" s="26"/>
    </row>
    <row r="419" spans="1:9" x14ac:dyDescent="0.2">
      <c r="A419">
        <v>404</v>
      </c>
      <c r="B419" t="s">
        <v>1128</v>
      </c>
      <c r="C419" t="s">
        <v>1124</v>
      </c>
      <c r="D419" t="s">
        <v>1029</v>
      </c>
      <c r="E419" t="s">
        <v>1129</v>
      </c>
      <c r="F419">
        <v>61.88</v>
      </c>
      <c r="G419" t="s">
        <v>1031</v>
      </c>
      <c r="H419" t="s">
        <v>14</v>
      </c>
      <c r="I419" s="26"/>
    </row>
    <row r="420" spans="1:9" x14ac:dyDescent="0.2">
      <c r="A420">
        <v>405</v>
      </c>
      <c r="B420" t="s">
        <v>1130</v>
      </c>
      <c r="C420" t="s">
        <v>1124</v>
      </c>
      <c r="D420" t="s">
        <v>1029</v>
      </c>
      <c r="E420" t="s">
        <v>1131</v>
      </c>
      <c r="F420">
        <v>322.95</v>
      </c>
      <c r="G420" t="s">
        <v>1031</v>
      </c>
      <c r="H420" t="s">
        <v>14</v>
      </c>
      <c r="I420" s="26"/>
    </row>
    <row r="421" spans="1:9" x14ac:dyDescent="0.2">
      <c r="A421">
        <v>406</v>
      </c>
      <c r="B421" t="s">
        <v>1132</v>
      </c>
      <c r="C421" t="s">
        <v>1133</v>
      </c>
      <c r="D421" t="s">
        <v>123</v>
      </c>
      <c r="E421" t="s">
        <v>1134</v>
      </c>
      <c r="F421">
        <v>77.42</v>
      </c>
      <c r="G421" t="s">
        <v>125</v>
      </c>
      <c r="H421" t="s">
        <v>14</v>
      </c>
      <c r="I421" s="26"/>
    </row>
    <row r="422" spans="1:9" x14ac:dyDescent="0.2">
      <c r="A422">
        <v>407</v>
      </c>
      <c r="B422" t="s">
        <v>1135</v>
      </c>
      <c r="C422" t="s">
        <v>1136</v>
      </c>
      <c r="D422" t="s">
        <v>123</v>
      </c>
      <c r="E422" t="s">
        <v>1137</v>
      </c>
      <c r="F422">
        <v>224</v>
      </c>
      <c r="G422" t="s">
        <v>125</v>
      </c>
      <c r="H422" t="s">
        <v>14</v>
      </c>
      <c r="I422" s="26">
        <v>42289</v>
      </c>
    </row>
    <row r="423" spans="1:9" x14ac:dyDescent="0.2">
      <c r="A423">
        <v>408</v>
      </c>
      <c r="B423" t="s">
        <v>1138</v>
      </c>
      <c r="C423" t="s">
        <v>1139</v>
      </c>
      <c r="D423" t="s">
        <v>706</v>
      </c>
      <c r="E423" t="s">
        <v>1140</v>
      </c>
      <c r="F423">
        <v>17.329999999999998</v>
      </c>
      <c r="G423" t="s">
        <v>708</v>
      </c>
      <c r="H423" t="s">
        <v>14</v>
      </c>
      <c r="I423" s="26">
        <v>42305</v>
      </c>
    </row>
    <row r="424" spans="1:9" x14ac:dyDescent="0.2">
      <c r="A424">
        <v>409</v>
      </c>
      <c r="B424" t="s">
        <v>1141</v>
      </c>
      <c r="C424" t="s">
        <v>1142</v>
      </c>
      <c r="D424" t="s">
        <v>508</v>
      </c>
      <c r="E424" t="s">
        <v>1143</v>
      </c>
      <c r="F424">
        <v>52.27</v>
      </c>
      <c r="G424" t="s">
        <v>510</v>
      </c>
      <c r="H424" t="s">
        <v>14</v>
      </c>
      <c r="I424" s="26"/>
    </row>
    <row r="425" spans="1:9" x14ac:dyDescent="0.2">
      <c r="A425">
        <v>410</v>
      </c>
      <c r="B425" t="s">
        <v>1144</v>
      </c>
      <c r="C425" t="s">
        <v>1145</v>
      </c>
      <c r="D425" t="s">
        <v>1146</v>
      </c>
      <c r="E425" t="s">
        <v>1147</v>
      </c>
      <c r="F425">
        <v>62.26</v>
      </c>
      <c r="G425" t="s">
        <v>1148</v>
      </c>
      <c r="H425" t="s">
        <v>14</v>
      </c>
      <c r="I425" s="26"/>
    </row>
    <row r="426" spans="1:9" x14ac:dyDescent="0.2">
      <c r="A426">
        <v>411</v>
      </c>
      <c r="B426" t="s">
        <v>1149</v>
      </c>
      <c r="C426" t="s">
        <v>1150</v>
      </c>
      <c r="D426" t="s">
        <v>1151</v>
      </c>
      <c r="E426" t="s">
        <v>1152</v>
      </c>
      <c r="F426">
        <v>22.4</v>
      </c>
      <c r="G426" t="s">
        <v>1153</v>
      </c>
      <c r="H426" t="s">
        <v>14</v>
      </c>
      <c r="I426" s="26">
        <v>42289</v>
      </c>
    </row>
    <row r="427" spans="1:9" x14ac:dyDescent="0.2">
      <c r="A427">
        <v>412</v>
      </c>
      <c r="B427" t="s">
        <v>1154</v>
      </c>
      <c r="C427" t="s">
        <v>1155</v>
      </c>
      <c r="D427" t="s">
        <v>1146</v>
      </c>
      <c r="E427" t="s">
        <v>1156</v>
      </c>
      <c r="F427">
        <v>60.84</v>
      </c>
      <c r="G427" t="s">
        <v>1148</v>
      </c>
      <c r="H427" t="s">
        <v>14</v>
      </c>
      <c r="I427" s="26"/>
    </row>
    <row r="428" spans="1:9" x14ac:dyDescent="0.2">
      <c r="A428">
        <v>413</v>
      </c>
      <c r="B428" t="s">
        <v>1157</v>
      </c>
      <c r="C428" t="s">
        <v>1158</v>
      </c>
      <c r="D428" t="s">
        <v>508</v>
      </c>
      <c r="E428" t="s">
        <v>1159</v>
      </c>
      <c r="F428">
        <v>62.9</v>
      </c>
      <c r="G428" t="s">
        <v>510</v>
      </c>
      <c r="H428" t="s">
        <v>14</v>
      </c>
      <c r="I428" s="26">
        <v>42290</v>
      </c>
    </row>
    <row r="429" spans="1:9" x14ac:dyDescent="0.2">
      <c r="A429">
        <v>414</v>
      </c>
      <c r="B429" t="s">
        <v>1160</v>
      </c>
      <c r="C429" t="s">
        <v>1161</v>
      </c>
      <c r="D429" t="s">
        <v>508</v>
      </c>
      <c r="E429" t="s">
        <v>1162</v>
      </c>
      <c r="F429">
        <v>40.409999999999997</v>
      </c>
      <c r="G429" t="s">
        <v>510</v>
      </c>
      <c r="H429" t="s">
        <v>14</v>
      </c>
      <c r="I429" s="26"/>
    </row>
    <row r="430" spans="1:9" x14ac:dyDescent="0.2">
      <c r="A430">
        <v>415</v>
      </c>
      <c r="B430" t="s">
        <v>1163</v>
      </c>
      <c r="C430" t="s">
        <v>1164</v>
      </c>
      <c r="D430" t="s">
        <v>508</v>
      </c>
      <c r="E430" t="s">
        <v>1165</v>
      </c>
      <c r="F430">
        <v>23.42</v>
      </c>
      <c r="G430" t="s">
        <v>510</v>
      </c>
      <c r="H430" t="s">
        <v>14</v>
      </c>
      <c r="I430" s="26"/>
    </row>
    <row r="431" spans="1:9" x14ac:dyDescent="0.2">
      <c r="A431">
        <v>416</v>
      </c>
      <c r="B431" t="s">
        <v>1166</v>
      </c>
      <c r="C431" t="s">
        <v>1167</v>
      </c>
      <c r="D431" t="s">
        <v>508</v>
      </c>
      <c r="E431" t="s">
        <v>1168</v>
      </c>
      <c r="F431">
        <v>62.9</v>
      </c>
      <c r="G431" t="s">
        <v>510</v>
      </c>
      <c r="H431" t="s">
        <v>14</v>
      </c>
      <c r="I431" s="26">
        <v>43165</v>
      </c>
    </row>
    <row r="432" spans="1:9" x14ac:dyDescent="0.2">
      <c r="A432">
        <v>417</v>
      </c>
      <c r="B432" t="s">
        <v>1169</v>
      </c>
      <c r="C432" t="s">
        <v>4579</v>
      </c>
      <c r="D432" t="s">
        <v>508</v>
      </c>
      <c r="E432" t="s">
        <v>1170</v>
      </c>
      <c r="F432">
        <v>41.74</v>
      </c>
      <c r="G432" t="s">
        <v>510</v>
      </c>
      <c r="H432" t="s">
        <v>14</v>
      </c>
      <c r="I432" s="26">
        <v>43165</v>
      </c>
    </row>
    <row r="433" spans="1:9" x14ac:dyDescent="0.2">
      <c r="A433">
        <v>418</v>
      </c>
      <c r="B433" t="s">
        <v>1171</v>
      </c>
      <c r="C433" t="s">
        <v>1172</v>
      </c>
      <c r="D433" t="s">
        <v>1151</v>
      </c>
      <c r="E433" t="s">
        <v>1173</v>
      </c>
      <c r="F433">
        <v>17.579999999999998</v>
      </c>
      <c r="G433" t="s">
        <v>1153</v>
      </c>
      <c r="H433" t="s">
        <v>14</v>
      </c>
      <c r="I433" s="26">
        <v>42290</v>
      </c>
    </row>
    <row r="434" spans="1:9" x14ac:dyDescent="0.2">
      <c r="A434">
        <v>419</v>
      </c>
      <c r="B434" t="s">
        <v>1174</v>
      </c>
      <c r="C434" t="s">
        <v>1175</v>
      </c>
      <c r="D434" t="s">
        <v>508</v>
      </c>
      <c r="E434" t="s">
        <v>1176</v>
      </c>
      <c r="F434">
        <v>27.32</v>
      </c>
      <c r="G434" t="s">
        <v>510</v>
      </c>
      <c r="H434" t="s">
        <v>14</v>
      </c>
      <c r="I434" s="26">
        <v>42530</v>
      </c>
    </row>
    <row r="435" spans="1:9" x14ac:dyDescent="0.2">
      <c r="A435">
        <v>420</v>
      </c>
      <c r="B435" t="s">
        <v>1177</v>
      </c>
      <c r="C435" t="s">
        <v>1178</v>
      </c>
      <c r="D435" t="s">
        <v>508</v>
      </c>
      <c r="E435" t="s">
        <v>4583</v>
      </c>
      <c r="F435">
        <v>31.42</v>
      </c>
      <c r="G435" t="s">
        <v>510</v>
      </c>
      <c r="H435" t="s">
        <v>14</v>
      </c>
      <c r="I435" s="26">
        <v>43215</v>
      </c>
    </row>
    <row r="436" spans="1:9" x14ac:dyDescent="0.2">
      <c r="A436">
        <v>421</v>
      </c>
      <c r="B436" t="s">
        <v>1179</v>
      </c>
      <c r="C436" t="s">
        <v>1180</v>
      </c>
      <c r="D436" t="s">
        <v>1151</v>
      </c>
      <c r="E436" t="s">
        <v>1181</v>
      </c>
      <c r="F436">
        <v>57.21</v>
      </c>
      <c r="G436" t="s">
        <v>1153</v>
      </c>
      <c r="H436" t="s">
        <v>14</v>
      </c>
      <c r="I436" s="26">
        <v>42290</v>
      </c>
    </row>
    <row r="437" spans="1:9" x14ac:dyDescent="0.2">
      <c r="A437">
        <v>422</v>
      </c>
      <c r="B437" t="s">
        <v>1182</v>
      </c>
      <c r="C437" t="s">
        <v>1183</v>
      </c>
      <c r="D437" t="s">
        <v>508</v>
      </c>
      <c r="E437" t="s">
        <v>1184</v>
      </c>
      <c r="F437">
        <v>26.59</v>
      </c>
      <c r="G437" t="s">
        <v>510</v>
      </c>
      <c r="H437" t="s">
        <v>14</v>
      </c>
      <c r="I437" s="26">
        <v>42339</v>
      </c>
    </row>
    <row r="438" spans="1:9" x14ac:dyDescent="0.2">
      <c r="A438">
        <v>423</v>
      </c>
      <c r="B438" t="s">
        <v>1185</v>
      </c>
      <c r="C438" t="s">
        <v>1186</v>
      </c>
      <c r="D438" t="s">
        <v>508</v>
      </c>
      <c r="E438" t="s">
        <v>1187</v>
      </c>
      <c r="F438">
        <v>246.58</v>
      </c>
      <c r="G438" t="s">
        <v>510</v>
      </c>
      <c r="H438" t="s">
        <v>14</v>
      </c>
      <c r="I438" s="26"/>
    </row>
    <row r="439" spans="1:9" x14ac:dyDescent="0.2">
      <c r="A439">
        <v>424</v>
      </c>
      <c r="B439" t="s">
        <v>1188</v>
      </c>
      <c r="C439" t="s">
        <v>1189</v>
      </c>
      <c r="D439" t="s">
        <v>1190</v>
      </c>
      <c r="E439" t="s">
        <v>1191</v>
      </c>
      <c r="F439">
        <v>9.93</v>
      </c>
      <c r="G439" t="s">
        <v>1192</v>
      </c>
      <c r="H439" t="s">
        <v>14</v>
      </c>
      <c r="I439" s="26">
        <v>43165</v>
      </c>
    </row>
    <row r="440" spans="1:9" x14ac:dyDescent="0.2">
      <c r="A440">
        <v>425</v>
      </c>
      <c r="B440" t="s">
        <v>1193</v>
      </c>
      <c r="C440" t="s">
        <v>1194</v>
      </c>
      <c r="D440" t="s">
        <v>1190</v>
      </c>
      <c r="E440" t="s">
        <v>1195</v>
      </c>
      <c r="F440">
        <v>9.6348000000000003</v>
      </c>
      <c r="G440" t="s">
        <v>1192</v>
      </c>
      <c r="H440" t="s">
        <v>14</v>
      </c>
      <c r="I440" s="26">
        <v>42339</v>
      </c>
    </row>
    <row r="441" spans="1:9" x14ac:dyDescent="0.2">
      <c r="A441">
        <v>426</v>
      </c>
      <c r="B441" t="s">
        <v>1196</v>
      </c>
      <c r="C441" t="s">
        <v>1197</v>
      </c>
      <c r="D441" t="s">
        <v>508</v>
      </c>
      <c r="E441" t="s">
        <v>4584</v>
      </c>
      <c r="F441">
        <v>31.42</v>
      </c>
      <c r="G441" t="s">
        <v>510</v>
      </c>
      <c r="H441" t="s">
        <v>14</v>
      </c>
      <c r="I441" s="26"/>
    </row>
    <row r="442" spans="1:9" x14ac:dyDescent="0.2">
      <c r="A442">
        <v>427</v>
      </c>
      <c r="B442" t="s">
        <v>1198</v>
      </c>
      <c r="C442" t="s">
        <v>1199</v>
      </c>
      <c r="D442" t="s">
        <v>1190</v>
      </c>
      <c r="E442" t="s">
        <v>1200</v>
      </c>
      <c r="F442">
        <v>21.797999999999998</v>
      </c>
      <c r="G442" t="s">
        <v>1192</v>
      </c>
      <c r="H442" t="s">
        <v>14</v>
      </c>
      <c r="I442" s="26"/>
    </row>
    <row r="443" spans="1:9" x14ac:dyDescent="0.2">
      <c r="A443">
        <v>428</v>
      </c>
      <c r="B443" t="s">
        <v>1201</v>
      </c>
      <c r="C443" t="s">
        <v>1202</v>
      </c>
      <c r="D443" t="s">
        <v>1190</v>
      </c>
      <c r="E443" t="s">
        <v>1203</v>
      </c>
      <c r="F443">
        <v>46.502699999999997</v>
      </c>
      <c r="G443" t="s">
        <v>1192</v>
      </c>
      <c r="H443" t="s">
        <v>14</v>
      </c>
      <c r="I443" s="26">
        <v>42289</v>
      </c>
    </row>
    <row r="444" spans="1:9" x14ac:dyDescent="0.2">
      <c r="A444">
        <v>429</v>
      </c>
      <c r="B444" t="s">
        <v>1204</v>
      </c>
      <c r="C444" t="s">
        <v>1205</v>
      </c>
      <c r="D444" t="s">
        <v>1206</v>
      </c>
      <c r="E444" t="s">
        <v>1207</v>
      </c>
      <c r="F444">
        <v>38.26</v>
      </c>
      <c r="G444" t="s">
        <v>1208</v>
      </c>
      <c r="H444" t="s">
        <v>14</v>
      </c>
      <c r="I444" s="26"/>
    </row>
    <row r="445" spans="1:9" x14ac:dyDescent="0.2">
      <c r="A445">
        <v>430</v>
      </c>
      <c r="B445" t="s">
        <v>1209</v>
      </c>
      <c r="C445" t="s">
        <v>1210</v>
      </c>
      <c r="D445" t="s">
        <v>1146</v>
      </c>
      <c r="E445" t="s">
        <v>1211</v>
      </c>
      <c r="F445">
        <v>78.59</v>
      </c>
      <c r="G445" t="s">
        <v>1148</v>
      </c>
      <c r="H445" t="s">
        <v>14</v>
      </c>
      <c r="I445" s="26">
        <v>42339</v>
      </c>
    </row>
    <row r="446" spans="1:9" x14ac:dyDescent="0.2">
      <c r="A446">
        <v>431</v>
      </c>
      <c r="B446" t="s">
        <v>1212</v>
      </c>
      <c r="C446" t="s">
        <v>1213</v>
      </c>
      <c r="D446" t="s">
        <v>1146</v>
      </c>
      <c r="E446" t="s">
        <v>1214</v>
      </c>
      <c r="F446">
        <v>85.27</v>
      </c>
      <c r="G446" t="s">
        <v>1148</v>
      </c>
      <c r="H446" t="s">
        <v>14</v>
      </c>
      <c r="I446" s="26">
        <v>42289</v>
      </c>
    </row>
    <row r="447" spans="1:9" x14ac:dyDescent="0.2">
      <c r="A447">
        <v>432</v>
      </c>
      <c r="B447" t="s">
        <v>1215</v>
      </c>
      <c r="C447" t="s">
        <v>1216</v>
      </c>
      <c r="D447" t="s">
        <v>1146</v>
      </c>
      <c r="E447" t="s">
        <v>1217</v>
      </c>
      <c r="F447">
        <v>118.46</v>
      </c>
      <c r="G447" t="s">
        <v>1148</v>
      </c>
      <c r="H447" t="s">
        <v>14</v>
      </c>
      <c r="I447" s="26">
        <v>42290</v>
      </c>
    </row>
    <row r="448" spans="1:9" x14ac:dyDescent="0.2">
      <c r="A448">
        <v>433</v>
      </c>
      <c r="B448" t="s">
        <v>1218</v>
      </c>
      <c r="C448" t="s">
        <v>1219</v>
      </c>
      <c r="D448" t="s">
        <v>1146</v>
      </c>
      <c r="E448" t="s">
        <v>1220</v>
      </c>
      <c r="F448">
        <v>124.42</v>
      </c>
      <c r="G448" t="s">
        <v>1148</v>
      </c>
      <c r="H448" t="s">
        <v>14</v>
      </c>
      <c r="I448" s="26">
        <v>42290</v>
      </c>
    </row>
    <row r="449" spans="1:9" x14ac:dyDescent="0.2">
      <c r="A449">
        <v>434</v>
      </c>
      <c r="B449" t="s">
        <v>1221</v>
      </c>
      <c r="C449" t="s">
        <v>1222</v>
      </c>
      <c r="D449" t="s">
        <v>415</v>
      </c>
      <c r="E449" t="s">
        <v>1223</v>
      </c>
      <c r="F449">
        <v>401.47</v>
      </c>
      <c r="G449" t="s">
        <v>417</v>
      </c>
      <c r="H449" t="s">
        <v>1224</v>
      </c>
      <c r="I449" s="26">
        <v>42290</v>
      </c>
    </row>
    <row r="450" spans="1:9" x14ac:dyDescent="0.2">
      <c r="A450">
        <v>435</v>
      </c>
      <c r="B450" t="s">
        <v>1225</v>
      </c>
      <c r="C450" t="s">
        <v>1226</v>
      </c>
      <c r="D450" t="s">
        <v>508</v>
      </c>
      <c r="E450" t="s">
        <v>1227</v>
      </c>
      <c r="F450">
        <v>25.65</v>
      </c>
      <c r="G450" t="s">
        <v>510</v>
      </c>
      <c r="H450" t="s">
        <v>14</v>
      </c>
      <c r="I450" s="26"/>
    </row>
    <row r="451" spans="1:9" x14ac:dyDescent="0.2">
      <c r="A451">
        <v>436</v>
      </c>
      <c r="B451" t="s">
        <v>1228</v>
      </c>
      <c r="C451" t="s">
        <v>1229</v>
      </c>
      <c r="D451" t="s">
        <v>508</v>
      </c>
      <c r="E451" t="s">
        <v>1230</v>
      </c>
      <c r="F451">
        <v>19.78</v>
      </c>
      <c r="G451" t="s">
        <v>510</v>
      </c>
      <c r="H451" t="s">
        <v>14</v>
      </c>
      <c r="I451" s="26">
        <v>42289</v>
      </c>
    </row>
    <row r="452" spans="1:9" x14ac:dyDescent="0.2">
      <c r="A452">
        <v>437</v>
      </c>
      <c r="B452" t="s">
        <v>1231</v>
      </c>
      <c r="C452" t="s">
        <v>1232</v>
      </c>
      <c r="D452" t="s">
        <v>1233</v>
      </c>
      <c r="E452" t="s">
        <v>1234</v>
      </c>
      <c r="F452">
        <v>74.77</v>
      </c>
      <c r="G452" t="s">
        <v>1235</v>
      </c>
      <c r="H452" t="s">
        <v>14</v>
      </c>
      <c r="I452" s="26">
        <v>42339</v>
      </c>
    </row>
    <row r="453" spans="1:9" x14ac:dyDescent="0.2">
      <c r="A453">
        <v>438</v>
      </c>
      <c r="B453" t="s">
        <v>1236</v>
      </c>
      <c r="C453" t="s">
        <v>1237</v>
      </c>
      <c r="D453" t="s">
        <v>508</v>
      </c>
      <c r="E453" t="s">
        <v>1238</v>
      </c>
      <c r="F453">
        <v>44.47</v>
      </c>
      <c r="G453" t="s">
        <v>510</v>
      </c>
      <c r="H453" t="s">
        <v>14</v>
      </c>
      <c r="I453" s="26"/>
    </row>
    <row r="454" spans="1:9" x14ac:dyDescent="0.2">
      <c r="A454">
        <v>439</v>
      </c>
      <c r="B454" t="s">
        <v>1239</v>
      </c>
      <c r="C454" t="s">
        <v>1240</v>
      </c>
      <c r="D454" t="s">
        <v>508</v>
      </c>
      <c r="E454" t="s">
        <v>1241</v>
      </c>
      <c r="F454">
        <v>95.04</v>
      </c>
      <c r="G454" t="s">
        <v>510</v>
      </c>
      <c r="H454" t="s">
        <v>14</v>
      </c>
      <c r="I454" s="26">
        <v>42290</v>
      </c>
    </row>
    <row r="455" spans="1:9" x14ac:dyDescent="0.2">
      <c r="A455">
        <v>440</v>
      </c>
      <c r="B455" t="s">
        <v>1242</v>
      </c>
      <c r="C455" t="s">
        <v>1243</v>
      </c>
      <c r="D455" t="s">
        <v>508</v>
      </c>
      <c r="E455" t="s">
        <v>1244</v>
      </c>
      <c r="F455">
        <v>50.01</v>
      </c>
      <c r="G455" t="s">
        <v>510</v>
      </c>
      <c r="H455" t="s">
        <v>14</v>
      </c>
      <c r="I455" s="26">
        <v>43164</v>
      </c>
    </row>
    <row r="456" spans="1:9" x14ac:dyDescent="0.2">
      <c r="A456">
        <v>441</v>
      </c>
      <c r="B456" t="s">
        <v>1245</v>
      </c>
      <c r="C456" t="s">
        <v>1246</v>
      </c>
      <c r="D456" t="s">
        <v>508</v>
      </c>
      <c r="E456" t="s">
        <v>1247</v>
      </c>
      <c r="F456">
        <v>50.01</v>
      </c>
      <c r="G456" t="s">
        <v>510</v>
      </c>
      <c r="H456" t="s">
        <v>14</v>
      </c>
      <c r="I456" s="26">
        <v>42339</v>
      </c>
    </row>
    <row r="457" spans="1:9" x14ac:dyDescent="0.2">
      <c r="A457">
        <v>442</v>
      </c>
      <c r="B457" t="s">
        <v>1248</v>
      </c>
      <c r="C457" t="s">
        <v>1249</v>
      </c>
      <c r="D457" t="s">
        <v>508</v>
      </c>
      <c r="E457" t="s">
        <v>1250</v>
      </c>
      <c r="F457">
        <v>36.409999999999997</v>
      </c>
      <c r="G457" t="s">
        <v>510</v>
      </c>
      <c r="H457" t="s">
        <v>14</v>
      </c>
      <c r="I457" s="26">
        <v>43164</v>
      </c>
    </row>
    <row r="458" spans="1:9" x14ac:dyDescent="0.2">
      <c r="A458">
        <v>443</v>
      </c>
      <c r="B458" t="s">
        <v>1251</v>
      </c>
      <c r="C458" t="s">
        <v>1252</v>
      </c>
      <c r="D458" t="s">
        <v>508</v>
      </c>
      <c r="E458" t="s">
        <v>1253</v>
      </c>
      <c r="F458">
        <v>65.92</v>
      </c>
      <c r="G458" t="s">
        <v>510</v>
      </c>
      <c r="H458" t="s">
        <v>14</v>
      </c>
      <c r="I458" s="26">
        <v>43227</v>
      </c>
    </row>
    <row r="459" spans="1:9" x14ac:dyDescent="0.2">
      <c r="A459">
        <v>444</v>
      </c>
      <c r="B459" t="s">
        <v>1254</v>
      </c>
      <c r="C459" t="s">
        <v>1255</v>
      </c>
      <c r="D459" t="s">
        <v>1233</v>
      </c>
      <c r="E459" t="s">
        <v>1256</v>
      </c>
      <c r="F459">
        <v>78.77</v>
      </c>
      <c r="G459" t="s">
        <v>1235</v>
      </c>
      <c r="H459" t="s">
        <v>14</v>
      </c>
      <c r="I459" s="26"/>
    </row>
    <row r="460" spans="1:9" x14ac:dyDescent="0.2">
      <c r="A460">
        <v>445</v>
      </c>
      <c r="B460" t="s">
        <v>1257</v>
      </c>
      <c r="C460" t="s">
        <v>1258</v>
      </c>
      <c r="D460" t="s">
        <v>508</v>
      </c>
      <c r="E460" t="s">
        <v>1259</v>
      </c>
      <c r="F460">
        <v>37.49</v>
      </c>
      <c r="G460" t="s">
        <v>510</v>
      </c>
      <c r="H460" t="s">
        <v>14</v>
      </c>
      <c r="I460" s="26"/>
    </row>
    <row r="461" spans="1:9" x14ac:dyDescent="0.2">
      <c r="A461">
        <v>446</v>
      </c>
      <c r="B461" t="s">
        <v>1260</v>
      </c>
      <c r="C461" t="s">
        <v>1261</v>
      </c>
      <c r="D461" t="s">
        <v>1262</v>
      </c>
      <c r="E461" t="s">
        <v>1263</v>
      </c>
      <c r="F461">
        <v>87</v>
      </c>
      <c r="G461" t="s">
        <v>1264</v>
      </c>
      <c r="H461" t="s">
        <v>14</v>
      </c>
      <c r="I461" s="26"/>
    </row>
    <row r="462" spans="1:9" x14ac:dyDescent="0.2">
      <c r="A462">
        <v>447</v>
      </c>
      <c r="B462" t="s">
        <v>1265</v>
      </c>
      <c r="C462" t="s">
        <v>1266</v>
      </c>
      <c r="D462" t="s">
        <v>508</v>
      </c>
      <c r="E462" t="s">
        <v>1267</v>
      </c>
      <c r="F462">
        <v>24.87</v>
      </c>
      <c r="G462" t="s">
        <v>510</v>
      </c>
      <c r="H462" t="s">
        <v>14</v>
      </c>
      <c r="I462" s="26">
        <v>43164</v>
      </c>
    </row>
    <row r="463" spans="1:9" x14ac:dyDescent="0.2">
      <c r="A463">
        <v>448</v>
      </c>
      <c r="B463" t="s">
        <v>4527</v>
      </c>
      <c r="C463" t="s">
        <v>4528</v>
      </c>
      <c r="D463" t="s">
        <v>508</v>
      </c>
      <c r="E463" t="s">
        <v>4529</v>
      </c>
      <c r="F463">
        <v>26.86</v>
      </c>
      <c r="G463" t="s">
        <v>510</v>
      </c>
      <c r="H463" t="s">
        <v>14</v>
      </c>
      <c r="I463" s="26">
        <v>43236</v>
      </c>
    </row>
    <row r="464" spans="1:9" x14ac:dyDescent="0.2">
      <c r="A464">
        <v>449</v>
      </c>
      <c r="B464" t="s">
        <v>1268</v>
      </c>
      <c r="C464" t="s">
        <v>1269</v>
      </c>
      <c r="D464" t="s">
        <v>508</v>
      </c>
      <c r="E464" t="s">
        <v>1270</v>
      </c>
      <c r="F464">
        <v>42.84</v>
      </c>
      <c r="G464" t="s">
        <v>510</v>
      </c>
      <c r="H464" t="s">
        <v>14</v>
      </c>
      <c r="I464" s="26"/>
    </row>
    <row r="465" spans="1:9" x14ac:dyDescent="0.2">
      <c r="A465">
        <v>450</v>
      </c>
      <c r="B465" t="s">
        <v>1271</v>
      </c>
      <c r="C465" t="s">
        <v>1272</v>
      </c>
      <c r="D465" t="s">
        <v>508</v>
      </c>
      <c r="E465" t="s">
        <v>1273</v>
      </c>
      <c r="F465">
        <v>22.34</v>
      </c>
      <c r="G465" t="s">
        <v>510</v>
      </c>
      <c r="H465" t="s">
        <v>14</v>
      </c>
      <c r="I465" s="26">
        <v>43165</v>
      </c>
    </row>
    <row r="466" spans="1:9" x14ac:dyDescent="0.2">
      <c r="A466">
        <v>451</v>
      </c>
      <c r="B466" t="s">
        <v>1274</v>
      </c>
      <c r="C466" t="s">
        <v>1275</v>
      </c>
      <c r="D466" t="s">
        <v>508</v>
      </c>
      <c r="E466" t="s">
        <v>1276</v>
      </c>
      <c r="F466">
        <v>20.73</v>
      </c>
      <c r="G466" t="s">
        <v>510</v>
      </c>
      <c r="H466" t="s">
        <v>14</v>
      </c>
      <c r="I466" s="26">
        <v>42289</v>
      </c>
    </row>
    <row r="467" spans="1:9" x14ac:dyDescent="0.2">
      <c r="A467">
        <v>452</v>
      </c>
      <c r="B467" t="s">
        <v>1277</v>
      </c>
      <c r="C467" t="s">
        <v>1278</v>
      </c>
      <c r="D467" t="s">
        <v>508</v>
      </c>
      <c r="E467" t="s">
        <v>1279</v>
      </c>
      <c r="F467">
        <v>23.57</v>
      </c>
      <c r="G467" t="s">
        <v>510</v>
      </c>
      <c r="H467" t="s">
        <v>14</v>
      </c>
      <c r="I467" s="26">
        <v>42429</v>
      </c>
    </row>
    <row r="468" spans="1:9" x14ac:dyDescent="0.2">
      <c r="A468">
        <v>453</v>
      </c>
      <c r="B468" t="s">
        <v>1280</v>
      </c>
      <c r="C468" t="s">
        <v>1281</v>
      </c>
      <c r="D468" t="s">
        <v>508</v>
      </c>
      <c r="E468" t="s">
        <v>1282</v>
      </c>
      <c r="F468">
        <v>23.57</v>
      </c>
      <c r="G468" t="s">
        <v>510</v>
      </c>
      <c r="H468" t="s">
        <v>14</v>
      </c>
      <c r="I468" s="26">
        <v>42467</v>
      </c>
    </row>
    <row r="469" spans="1:9" x14ac:dyDescent="0.2">
      <c r="A469">
        <v>454</v>
      </c>
      <c r="B469" t="s">
        <v>1283</v>
      </c>
      <c r="C469" t="s">
        <v>1284</v>
      </c>
      <c r="D469" t="s">
        <v>508</v>
      </c>
      <c r="E469" t="s">
        <v>1285</v>
      </c>
      <c r="F469">
        <v>22.13</v>
      </c>
      <c r="G469" t="s">
        <v>510</v>
      </c>
      <c r="H469" t="s">
        <v>14</v>
      </c>
      <c r="I469" s="26">
        <v>42339</v>
      </c>
    </row>
    <row r="470" spans="1:9" x14ac:dyDescent="0.2">
      <c r="A470">
        <v>455</v>
      </c>
      <c r="B470" t="s">
        <v>1286</v>
      </c>
      <c r="C470" t="s">
        <v>1287</v>
      </c>
      <c r="D470" t="s">
        <v>508</v>
      </c>
      <c r="E470" t="s">
        <v>1288</v>
      </c>
      <c r="F470">
        <v>54.4</v>
      </c>
      <c r="G470" t="s">
        <v>510</v>
      </c>
      <c r="H470" t="s">
        <v>14</v>
      </c>
      <c r="I470" s="26">
        <v>42289</v>
      </c>
    </row>
    <row r="471" spans="1:9" x14ac:dyDescent="0.2">
      <c r="A471">
        <v>456</v>
      </c>
      <c r="B471" t="s">
        <v>1289</v>
      </c>
      <c r="C471" t="s">
        <v>1290</v>
      </c>
      <c r="D471" t="s">
        <v>508</v>
      </c>
      <c r="E471" t="s">
        <v>1291</v>
      </c>
      <c r="F471">
        <v>101.22</v>
      </c>
      <c r="G471" t="s">
        <v>510</v>
      </c>
      <c r="H471" t="s">
        <v>14</v>
      </c>
      <c r="I471" s="26">
        <v>42290</v>
      </c>
    </row>
    <row r="472" spans="1:9" x14ac:dyDescent="0.2">
      <c r="A472">
        <v>457</v>
      </c>
      <c r="B472" t="s">
        <v>1292</v>
      </c>
      <c r="C472" t="s">
        <v>1293</v>
      </c>
      <c r="D472" t="s">
        <v>508</v>
      </c>
      <c r="E472" t="s">
        <v>1294</v>
      </c>
      <c r="F472">
        <v>35.880000000000003</v>
      </c>
      <c r="G472" t="s">
        <v>510</v>
      </c>
      <c r="H472" t="s">
        <v>14</v>
      </c>
      <c r="I472" s="26"/>
    </row>
    <row r="473" spans="1:9" x14ac:dyDescent="0.2">
      <c r="A473">
        <v>458</v>
      </c>
      <c r="B473" t="s">
        <v>1295</v>
      </c>
      <c r="C473" t="s">
        <v>1296</v>
      </c>
      <c r="D473" t="s">
        <v>508</v>
      </c>
      <c r="E473" t="s">
        <v>1297</v>
      </c>
      <c r="F473">
        <v>56.74</v>
      </c>
      <c r="G473" t="s">
        <v>510</v>
      </c>
      <c r="H473" t="s">
        <v>14</v>
      </c>
      <c r="I473" s="26">
        <v>42289</v>
      </c>
    </row>
    <row r="474" spans="1:9" x14ac:dyDescent="0.2">
      <c r="A474">
        <v>459</v>
      </c>
      <c r="B474" t="s">
        <v>1298</v>
      </c>
      <c r="C474" t="s">
        <v>1299</v>
      </c>
      <c r="D474" t="s">
        <v>508</v>
      </c>
      <c r="E474" t="s">
        <v>1300</v>
      </c>
      <c r="F474">
        <v>35.880000000000003</v>
      </c>
      <c r="G474" t="s">
        <v>510</v>
      </c>
      <c r="H474" t="s">
        <v>14</v>
      </c>
      <c r="I474" s="26">
        <v>42290</v>
      </c>
    </row>
    <row r="475" spans="1:9" x14ac:dyDescent="0.2">
      <c r="A475">
        <v>460</v>
      </c>
      <c r="B475" t="s">
        <v>1301</v>
      </c>
      <c r="C475" t="s">
        <v>1302</v>
      </c>
      <c r="D475" t="s">
        <v>508</v>
      </c>
      <c r="E475" t="s">
        <v>1303</v>
      </c>
      <c r="F475">
        <v>35.880000000000003</v>
      </c>
      <c r="G475" t="s">
        <v>510</v>
      </c>
      <c r="H475" t="s">
        <v>14</v>
      </c>
      <c r="I475" s="26">
        <v>42290</v>
      </c>
    </row>
    <row r="476" spans="1:9" x14ac:dyDescent="0.2">
      <c r="A476">
        <v>461</v>
      </c>
      <c r="B476" t="s">
        <v>1304</v>
      </c>
      <c r="C476" t="s">
        <v>1305</v>
      </c>
      <c r="D476" t="s">
        <v>508</v>
      </c>
      <c r="E476" t="s">
        <v>1306</v>
      </c>
      <c r="F476">
        <v>57.02</v>
      </c>
      <c r="G476" t="s">
        <v>510</v>
      </c>
      <c r="H476" t="s">
        <v>14</v>
      </c>
      <c r="I476" s="26">
        <v>42339</v>
      </c>
    </row>
    <row r="477" spans="1:9" x14ac:dyDescent="0.2">
      <c r="A477">
        <v>462</v>
      </c>
      <c r="B477" t="s">
        <v>1307</v>
      </c>
      <c r="C477" t="s">
        <v>1308</v>
      </c>
      <c r="D477" t="s">
        <v>40</v>
      </c>
      <c r="E477" t="s">
        <v>1309</v>
      </c>
      <c r="F477">
        <v>96.36</v>
      </c>
      <c r="G477" t="s">
        <v>42</v>
      </c>
      <c r="H477" t="s">
        <v>14</v>
      </c>
      <c r="I477" s="26">
        <v>42339</v>
      </c>
    </row>
    <row r="478" spans="1:9" x14ac:dyDescent="0.2">
      <c r="A478">
        <v>463</v>
      </c>
      <c r="B478" t="s">
        <v>1310</v>
      </c>
      <c r="C478" t="s">
        <v>1311</v>
      </c>
      <c r="D478" t="s">
        <v>40</v>
      </c>
      <c r="E478" t="s">
        <v>1312</v>
      </c>
      <c r="F478">
        <v>31.48</v>
      </c>
      <c r="G478" t="s">
        <v>42</v>
      </c>
      <c r="H478" t="s">
        <v>14</v>
      </c>
      <c r="I478" s="26"/>
    </row>
    <row r="479" spans="1:9" x14ac:dyDescent="0.2">
      <c r="A479">
        <v>464</v>
      </c>
      <c r="B479" t="s">
        <v>1313</v>
      </c>
      <c r="C479" t="s">
        <v>1314</v>
      </c>
      <c r="D479" t="s">
        <v>508</v>
      </c>
      <c r="E479" t="s">
        <v>1315</v>
      </c>
      <c r="F479">
        <v>53.92</v>
      </c>
      <c r="G479" t="s">
        <v>510</v>
      </c>
      <c r="H479" t="s">
        <v>14</v>
      </c>
      <c r="I479" s="26">
        <v>42290</v>
      </c>
    </row>
    <row r="480" spans="1:9" x14ac:dyDescent="0.2">
      <c r="A480">
        <v>465</v>
      </c>
      <c r="B480" t="s">
        <v>1316</v>
      </c>
      <c r="C480" t="s">
        <v>1317</v>
      </c>
      <c r="D480" t="s">
        <v>508</v>
      </c>
      <c r="E480" t="s">
        <v>1318</v>
      </c>
      <c r="F480">
        <v>53.92</v>
      </c>
      <c r="G480" t="s">
        <v>510</v>
      </c>
      <c r="H480" t="s">
        <v>14</v>
      </c>
      <c r="I480" s="26"/>
    </row>
    <row r="481" spans="1:9" x14ac:dyDescent="0.2">
      <c r="A481">
        <v>466</v>
      </c>
      <c r="B481" t="s">
        <v>1319</v>
      </c>
      <c r="C481" t="s">
        <v>1320</v>
      </c>
      <c r="D481" t="s">
        <v>123</v>
      </c>
      <c r="E481" t="s">
        <v>1321</v>
      </c>
      <c r="F481">
        <v>146.26</v>
      </c>
      <c r="G481" t="s">
        <v>125</v>
      </c>
      <c r="H481" t="s">
        <v>14</v>
      </c>
      <c r="I481" s="26">
        <v>42523</v>
      </c>
    </row>
    <row r="482" spans="1:9" x14ac:dyDescent="0.2">
      <c r="A482">
        <v>467</v>
      </c>
      <c r="B482" t="s">
        <v>1322</v>
      </c>
      <c r="C482" t="s">
        <v>1323</v>
      </c>
      <c r="D482" t="s">
        <v>123</v>
      </c>
      <c r="E482" t="s">
        <v>1324</v>
      </c>
      <c r="F482">
        <v>52</v>
      </c>
      <c r="G482" t="s">
        <v>125</v>
      </c>
      <c r="H482" t="s">
        <v>14</v>
      </c>
      <c r="I482" s="26"/>
    </row>
    <row r="483" spans="1:9" x14ac:dyDescent="0.2">
      <c r="A483">
        <v>468</v>
      </c>
      <c r="B483" t="s">
        <v>1325</v>
      </c>
      <c r="C483" t="s">
        <v>1326</v>
      </c>
      <c r="D483" t="s">
        <v>123</v>
      </c>
      <c r="E483" t="s">
        <v>1327</v>
      </c>
      <c r="F483">
        <v>179</v>
      </c>
      <c r="G483" t="s">
        <v>125</v>
      </c>
      <c r="H483" t="s">
        <v>14</v>
      </c>
      <c r="I483" s="26">
        <v>42339</v>
      </c>
    </row>
    <row r="484" spans="1:9" x14ac:dyDescent="0.2">
      <c r="A484">
        <v>469</v>
      </c>
      <c r="B484" t="s">
        <v>1328</v>
      </c>
      <c r="C484" t="s">
        <v>1329</v>
      </c>
      <c r="D484" t="s">
        <v>131</v>
      </c>
      <c r="E484" t="s">
        <v>1330</v>
      </c>
      <c r="F484">
        <v>206</v>
      </c>
      <c r="G484" t="s">
        <v>133</v>
      </c>
      <c r="H484" t="s">
        <v>14</v>
      </c>
      <c r="I484" s="26"/>
    </row>
    <row r="485" spans="1:9" x14ac:dyDescent="0.2">
      <c r="A485">
        <v>470</v>
      </c>
      <c r="B485" t="s">
        <v>1331</v>
      </c>
      <c r="C485" t="s">
        <v>1332</v>
      </c>
      <c r="D485" t="s">
        <v>123</v>
      </c>
      <c r="E485" t="s">
        <v>1331</v>
      </c>
      <c r="F485">
        <v>92.58</v>
      </c>
      <c r="G485" t="s">
        <v>125</v>
      </c>
      <c r="H485" t="s">
        <v>14</v>
      </c>
      <c r="I485" s="26"/>
    </row>
    <row r="486" spans="1:9" x14ac:dyDescent="0.2">
      <c r="A486">
        <v>471</v>
      </c>
      <c r="B486" t="s">
        <v>1333</v>
      </c>
      <c r="C486" t="s">
        <v>1334</v>
      </c>
      <c r="D486" t="s">
        <v>315</v>
      </c>
      <c r="E486" t="s">
        <v>1333</v>
      </c>
      <c r="F486">
        <v>14.53</v>
      </c>
      <c r="G486" t="s">
        <v>317</v>
      </c>
      <c r="H486" t="s">
        <v>14</v>
      </c>
      <c r="I486" s="26">
        <v>43165</v>
      </c>
    </row>
    <row r="487" spans="1:9" x14ac:dyDescent="0.2">
      <c r="A487">
        <v>472</v>
      </c>
      <c r="B487" t="s">
        <v>1335</v>
      </c>
      <c r="C487" t="s">
        <v>1336</v>
      </c>
      <c r="D487" t="s">
        <v>123</v>
      </c>
      <c r="E487" t="s">
        <v>1337</v>
      </c>
      <c r="F487">
        <v>109.2</v>
      </c>
      <c r="G487" t="s">
        <v>125</v>
      </c>
      <c r="H487" t="s">
        <v>14</v>
      </c>
      <c r="I487" s="26">
        <v>43222</v>
      </c>
    </row>
    <row r="488" spans="1:9" x14ac:dyDescent="0.2">
      <c r="A488">
        <v>473</v>
      </c>
      <c r="B488" t="s">
        <v>1338</v>
      </c>
      <c r="C488" t="s">
        <v>1339</v>
      </c>
      <c r="D488" t="s">
        <v>123</v>
      </c>
      <c r="E488" t="s">
        <v>1340</v>
      </c>
      <c r="F488">
        <v>221.96</v>
      </c>
      <c r="G488" t="s">
        <v>125</v>
      </c>
      <c r="H488" t="s">
        <v>14</v>
      </c>
      <c r="I488" s="26">
        <v>42339</v>
      </c>
    </row>
    <row r="489" spans="1:9" x14ac:dyDescent="0.2">
      <c r="A489">
        <v>474</v>
      </c>
      <c r="B489" t="s">
        <v>1341</v>
      </c>
      <c r="C489" t="s">
        <v>1342</v>
      </c>
      <c r="D489" t="s">
        <v>123</v>
      </c>
      <c r="E489" t="s">
        <v>1341</v>
      </c>
      <c r="F489">
        <v>254.25</v>
      </c>
      <c r="G489" t="s">
        <v>125</v>
      </c>
      <c r="H489" t="s">
        <v>14</v>
      </c>
      <c r="I489" s="26">
        <v>42290</v>
      </c>
    </row>
    <row r="490" spans="1:9" x14ac:dyDescent="0.2">
      <c r="A490">
        <v>475</v>
      </c>
      <c r="B490" t="s">
        <v>1343</v>
      </c>
      <c r="C490" t="s">
        <v>1344</v>
      </c>
      <c r="D490" t="s">
        <v>123</v>
      </c>
      <c r="E490" t="s">
        <v>4585</v>
      </c>
      <c r="F490">
        <v>386.8</v>
      </c>
      <c r="G490" t="s">
        <v>125</v>
      </c>
      <c r="H490" t="s">
        <v>14</v>
      </c>
      <c r="I490" s="26">
        <v>43265</v>
      </c>
    </row>
    <row r="491" spans="1:9" x14ac:dyDescent="0.2">
      <c r="A491">
        <v>476</v>
      </c>
      <c r="B491" t="s">
        <v>1345</v>
      </c>
      <c r="C491" t="s">
        <v>1346</v>
      </c>
      <c r="D491" t="s">
        <v>1347</v>
      </c>
      <c r="E491" t="s">
        <v>1348</v>
      </c>
      <c r="F491">
        <v>32.5</v>
      </c>
      <c r="G491" t="s">
        <v>1349</v>
      </c>
      <c r="H491" t="s">
        <v>14</v>
      </c>
      <c r="I491" s="26">
        <v>43217</v>
      </c>
    </row>
    <row r="492" spans="1:9" x14ac:dyDescent="0.2">
      <c r="A492">
        <v>477</v>
      </c>
      <c r="B492" t="s">
        <v>1350</v>
      </c>
      <c r="C492" t="s">
        <v>1351</v>
      </c>
      <c r="D492" t="s">
        <v>35</v>
      </c>
      <c r="E492" t="s">
        <v>1352</v>
      </c>
      <c r="F492">
        <v>28.67</v>
      </c>
      <c r="G492" t="s">
        <v>37</v>
      </c>
      <c r="H492" t="s">
        <v>14</v>
      </c>
      <c r="I492" s="26">
        <v>42290</v>
      </c>
    </row>
    <row r="493" spans="1:9" x14ac:dyDescent="0.2">
      <c r="A493">
        <v>478</v>
      </c>
      <c r="B493" t="s">
        <v>1353</v>
      </c>
      <c r="C493" t="s">
        <v>1354</v>
      </c>
      <c r="D493" t="s">
        <v>35</v>
      </c>
      <c r="E493" t="s">
        <v>1355</v>
      </c>
      <c r="F493">
        <v>36.549999999999997</v>
      </c>
      <c r="G493" t="s">
        <v>37</v>
      </c>
      <c r="H493" t="s">
        <v>14</v>
      </c>
      <c r="I493" s="26">
        <v>42289</v>
      </c>
    </row>
    <row r="494" spans="1:9" x14ac:dyDescent="0.2">
      <c r="A494">
        <v>479</v>
      </c>
      <c r="B494" t="s">
        <v>1356</v>
      </c>
      <c r="C494" t="s">
        <v>1357</v>
      </c>
      <c r="D494" t="s">
        <v>508</v>
      </c>
      <c r="E494" t="s">
        <v>1358</v>
      </c>
      <c r="F494">
        <v>21.68</v>
      </c>
      <c r="G494" t="s">
        <v>510</v>
      </c>
      <c r="H494" t="s">
        <v>14</v>
      </c>
      <c r="I494" s="26">
        <v>42289</v>
      </c>
    </row>
    <row r="495" spans="1:9" x14ac:dyDescent="0.2">
      <c r="A495">
        <v>480</v>
      </c>
      <c r="B495" t="s">
        <v>1359</v>
      </c>
      <c r="C495" t="s">
        <v>1360</v>
      </c>
      <c r="D495" t="s">
        <v>508</v>
      </c>
      <c r="E495" t="s">
        <v>1361</v>
      </c>
      <c r="F495">
        <v>19.71</v>
      </c>
      <c r="G495" t="s">
        <v>510</v>
      </c>
      <c r="H495" t="s">
        <v>14</v>
      </c>
      <c r="I495" s="26"/>
    </row>
    <row r="496" spans="1:9" x14ac:dyDescent="0.2">
      <c r="A496">
        <v>481</v>
      </c>
      <c r="B496" t="s">
        <v>1362</v>
      </c>
      <c r="C496" t="s">
        <v>1363</v>
      </c>
      <c r="D496" t="s">
        <v>508</v>
      </c>
      <c r="E496" t="s">
        <v>1364</v>
      </c>
      <c r="F496">
        <v>21.68</v>
      </c>
      <c r="G496" t="s">
        <v>510</v>
      </c>
      <c r="H496" t="s">
        <v>14</v>
      </c>
      <c r="I496" s="26">
        <v>42339</v>
      </c>
    </row>
    <row r="497" spans="1:9" x14ac:dyDescent="0.2">
      <c r="A497">
        <v>482</v>
      </c>
      <c r="B497" t="s">
        <v>1365</v>
      </c>
      <c r="C497" t="s">
        <v>1366</v>
      </c>
      <c r="D497" t="s">
        <v>508</v>
      </c>
      <c r="E497" t="s">
        <v>1367</v>
      </c>
      <c r="F497">
        <v>34.83</v>
      </c>
      <c r="G497" t="s">
        <v>510</v>
      </c>
      <c r="H497" t="s">
        <v>14</v>
      </c>
      <c r="I497" s="26"/>
    </row>
    <row r="498" spans="1:9" x14ac:dyDescent="0.2">
      <c r="A498">
        <v>483</v>
      </c>
      <c r="B498" t="s">
        <v>1368</v>
      </c>
      <c r="C498" t="s">
        <v>1369</v>
      </c>
      <c r="D498" t="s">
        <v>508</v>
      </c>
      <c r="E498" t="s">
        <v>1370</v>
      </c>
      <c r="F498">
        <v>35.880000000000003</v>
      </c>
      <c r="G498" t="s">
        <v>510</v>
      </c>
      <c r="H498" t="s">
        <v>14</v>
      </c>
      <c r="I498" s="26"/>
    </row>
    <row r="499" spans="1:9" x14ac:dyDescent="0.2">
      <c r="A499">
        <v>484</v>
      </c>
      <c r="B499" t="s">
        <v>1371</v>
      </c>
      <c r="C499" t="s">
        <v>1372</v>
      </c>
      <c r="D499" t="s">
        <v>315</v>
      </c>
      <c r="E499" t="s">
        <v>1373</v>
      </c>
      <c r="F499">
        <v>246.58</v>
      </c>
      <c r="G499" t="s">
        <v>317</v>
      </c>
      <c r="H499" t="s">
        <v>14</v>
      </c>
      <c r="I499" s="26"/>
    </row>
    <row r="500" spans="1:9" x14ac:dyDescent="0.2">
      <c r="A500">
        <v>485</v>
      </c>
      <c r="B500" t="s">
        <v>1374</v>
      </c>
      <c r="C500" t="s">
        <v>1375</v>
      </c>
      <c r="D500" t="s">
        <v>1376</v>
      </c>
      <c r="E500" t="s">
        <v>1377</v>
      </c>
      <c r="F500">
        <v>5988</v>
      </c>
      <c r="G500" t="s">
        <v>1378</v>
      </c>
      <c r="H500" t="s">
        <v>14</v>
      </c>
      <c r="I500" s="26"/>
    </row>
    <row r="501" spans="1:9" x14ac:dyDescent="0.2">
      <c r="A501">
        <v>486</v>
      </c>
      <c r="B501" t="s">
        <v>1379</v>
      </c>
      <c r="C501" t="s">
        <v>1375</v>
      </c>
      <c r="D501" t="s">
        <v>1376</v>
      </c>
      <c r="E501" t="s">
        <v>1380</v>
      </c>
      <c r="F501">
        <v>2657</v>
      </c>
      <c r="G501" t="s">
        <v>1378</v>
      </c>
      <c r="H501" t="s">
        <v>14</v>
      </c>
      <c r="I501" s="26"/>
    </row>
    <row r="502" spans="1:9" x14ac:dyDescent="0.2">
      <c r="A502">
        <v>487</v>
      </c>
      <c r="B502" t="s">
        <v>1381</v>
      </c>
      <c r="C502" t="s">
        <v>1382</v>
      </c>
      <c r="D502" t="s">
        <v>1376</v>
      </c>
      <c r="E502" t="s">
        <v>1383</v>
      </c>
      <c r="F502">
        <v>7931</v>
      </c>
      <c r="G502" t="s">
        <v>1378</v>
      </c>
      <c r="H502" t="s">
        <v>14</v>
      </c>
      <c r="I502" s="26"/>
    </row>
    <row r="503" spans="1:9" x14ac:dyDescent="0.2">
      <c r="A503">
        <v>488</v>
      </c>
      <c r="B503" t="s">
        <v>1384</v>
      </c>
      <c r="C503" t="s">
        <v>1385</v>
      </c>
      <c r="D503" t="s">
        <v>1376</v>
      </c>
      <c r="E503" t="s">
        <v>1380</v>
      </c>
      <c r="F503">
        <v>3677</v>
      </c>
      <c r="G503" t="s">
        <v>1378</v>
      </c>
      <c r="H503" t="s">
        <v>14</v>
      </c>
      <c r="I503" s="26"/>
    </row>
    <row r="504" spans="1:9" x14ac:dyDescent="0.2">
      <c r="A504">
        <v>489</v>
      </c>
      <c r="B504" t="s">
        <v>1386</v>
      </c>
      <c r="C504" t="s">
        <v>1387</v>
      </c>
      <c r="D504" t="s">
        <v>1376</v>
      </c>
      <c r="E504" t="s">
        <v>1380</v>
      </c>
      <c r="F504">
        <v>3677</v>
      </c>
      <c r="G504" t="s">
        <v>1378</v>
      </c>
      <c r="H504" t="s">
        <v>14</v>
      </c>
      <c r="I504" s="26"/>
    </row>
    <row r="505" spans="1:9" x14ac:dyDescent="0.2">
      <c r="A505">
        <v>490</v>
      </c>
      <c r="B505" t="s">
        <v>1388</v>
      </c>
      <c r="C505" t="s">
        <v>1382</v>
      </c>
      <c r="D505" t="s">
        <v>1376</v>
      </c>
      <c r="E505" t="s">
        <v>1389</v>
      </c>
      <c r="F505">
        <v>6637</v>
      </c>
      <c r="G505" t="s">
        <v>1378</v>
      </c>
      <c r="H505" t="s">
        <v>14</v>
      </c>
      <c r="I505" s="26"/>
    </row>
    <row r="506" spans="1:9" x14ac:dyDescent="0.2">
      <c r="A506">
        <v>491</v>
      </c>
      <c r="B506" t="s">
        <v>1390</v>
      </c>
      <c r="C506" t="s">
        <v>1391</v>
      </c>
      <c r="D506" t="s">
        <v>1376</v>
      </c>
      <c r="E506" t="s">
        <v>1392</v>
      </c>
      <c r="F506">
        <v>0</v>
      </c>
      <c r="G506" t="s">
        <v>1378</v>
      </c>
      <c r="H506" t="s">
        <v>14</v>
      </c>
      <c r="I506" s="26">
        <v>42289</v>
      </c>
    </row>
    <row r="507" spans="1:9" x14ac:dyDescent="0.2">
      <c r="A507">
        <v>492</v>
      </c>
      <c r="B507" t="s">
        <v>1390</v>
      </c>
      <c r="C507" t="s">
        <v>1391</v>
      </c>
      <c r="D507" t="s">
        <v>1376</v>
      </c>
      <c r="E507" t="s">
        <v>1392</v>
      </c>
      <c r="F507">
        <v>0</v>
      </c>
      <c r="G507" t="s">
        <v>1378</v>
      </c>
      <c r="H507" t="s">
        <v>14</v>
      </c>
      <c r="I507" s="26">
        <v>42289</v>
      </c>
    </row>
    <row r="508" spans="1:9" x14ac:dyDescent="0.2">
      <c r="A508">
        <v>493</v>
      </c>
      <c r="B508" t="s">
        <v>1393</v>
      </c>
      <c r="C508" t="s">
        <v>1391</v>
      </c>
      <c r="D508" t="s">
        <v>1376</v>
      </c>
      <c r="E508" t="s">
        <v>1392</v>
      </c>
      <c r="F508">
        <v>0</v>
      </c>
      <c r="G508" t="s">
        <v>1378</v>
      </c>
      <c r="H508" t="s">
        <v>14</v>
      </c>
      <c r="I508" s="26">
        <v>42289</v>
      </c>
    </row>
    <row r="509" spans="1:9" x14ac:dyDescent="0.2">
      <c r="A509">
        <v>494</v>
      </c>
      <c r="B509" t="s">
        <v>1394</v>
      </c>
      <c r="C509" t="s">
        <v>273</v>
      </c>
      <c r="D509" t="s">
        <v>1376</v>
      </c>
      <c r="E509" t="s">
        <v>1392</v>
      </c>
      <c r="F509">
        <v>0</v>
      </c>
      <c r="G509" t="s">
        <v>1378</v>
      </c>
      <c r="H509" t="s">
        <v>14</v>
      </c>
      <c r="I509" s="26">
        <v>42289</v>
      </c>
    </row>
    <row r="510" spans="1:9" x14ac:dyDescent="0.2">
      <c r="A510">
        <v>495</v>
      </c>
      <c r="B510" t="s">
        <v>1395</v>
      </c>
      <c r="C510" t="s">
        <v>1396</v>
      </c>
      <c r="D510" t="s">
        <v>1376</v>
      </c>
      <c r="E510" t="s">
        <v>1392</v>
      </c>
      <c r="F510">
        <v>0</v>
      </c>
      <c r="G510" t="s">
        <v>1378</v>
      </c>
      <c r="H510" t="s">
        <v>14</v>
      </c>
      <c r="I510" s="26">
        <v>42289</v>
      </c>
    </row>
    <row r="511" spans="1:9" x14ac:dyDescent="0.2">
      <c r="A511">
        <v>496</v>
      </c>
      <c r="B511" t="s">
        <v>1397</v>
      </c>
      <c r="C511" t="s">
        <v>1398</v>
      </c>
      <c r="D511" t="s">
        <v>1376</v>
      </c>
      <c r="E511" t="s">
        <v>1392</v>
      </c>
      <c r="F511">
        <v>0</v>
      </c>
      <c r="G511" t="s">
        <v>1378</v>
      </c>
      <c r="H511" t="s">
        <v>14</v>
      </c>
      <c r="I511" s="26">
        <v>42289</v>
      </c>
    </row>
    <row r="512" spans="1:9" x14ac:dyDescent="0.2">
      <c r="A512">
        <v>497</v>
      </c>
      <c r="B512" t="s">
        <v>1399</v>
      </c>
      <c r="C512" t="s">
        <v>1400</v>
      </c>
      <c r="D512" t="s">
        <v>1376</v>
      </c>
      <c r="E512" t="s">
        <v>1392</v>
      </c>
      <c r="F512">
        <v>0</v>
      </c>
      <c r="G512" t="s">
        <v>1378</v>
      </c>
      <c r="H512" t="s">
        <v>14</v>
      </c>
      <c r="I512" s="26">
        <v>42289</v>
      </c>
    </row>
    <row r="513" spans="1:9" x14ac:dyDescent="0.2">
      <c r="A513">
        <v>498</v>
      </c>
      <c r="B513" t="s">
        <v>1401</v>
      </c>
      <c r="C513" t="s">
        <v>275</v>
      </c>
      <c r="D513" t="s">
        <v>1376</v>
      </c>
      <c r="E513" t="s">
        <v>1392</v>
      </c>
      <c r="F513">
        <v>0</v>
      </c>
      <c r="G513" t="s">
        <v>1378</v>
      </c>
      <c r="H513" t="s">
        <v>14</v>
      </c>
      <c r="I513" s="26">
        <v>42289</v>
      </c>
    </row>
    <row r="514" spans="1:9" x14ac:dyDescent="0.2">
      <c r="A514">
        <v>499</v>
      </c>
      <c r="B514" t="s">
        <v>1402</v>
      </c>
      <c r="C514" t="s">
        <v>1403</v>
      </c>
      <c r="D514" t="s">
        <v>1376</v>
      </c>
      <c r="E514" t="s">
        <v>1392</v>
      </c>
      <c r="F514">
        <v>0</v>
      </c>
      <c r="G514" t="s">
        <v>1378</v>
      </c>
      <c r="H514" t="s">
        <v>14</v>
      </c>
      <c r="I514" s="26">
        <v>42289</v>
      </c>
    </row>
    <row r="515" spans="1:9" x14ac:dyDescent="0.2">
      <c r="A515">
        <v>500</v>
      </c>
      <c r="B515" t="s">
        <v>1404</v>
      </c>
      <c r="C515" t="s">
        <v>1405</v>
      </c>
      <c r="D515" t="s">
        <v>1376</v>
      </c>
      <c r="E515" t="s">
        <v>1392</v>
      </c>
      <c r="F515">
        <v>0</v>
      </c>
      <c r="G515" t="s">
        <v>1378</v>
      </c>
      <c r="H515" t="s">
        <v>14</v>
      </c>
      <c r="I515" s="26">
        <v>42289</v>
      </c>
    </row>
    <row r="516" spans="1:9" x14ac:dyDescent="0.2">
      <c r="A516">
        <v>501</v>
      </c>
      <c r="B516" t="s">
        <v>1404</v>
      </c>
      <c r="C516" t="s">
        <v>1406</v>
      </c>
      <c r="D516" t="s">
        <v>1376</v>
      </c>
      <c r="E516" t="s">
        <v>1392</v>
      </c>
      <c r="F516">
        <v>0</v>
      </c>
      <c r="G516" t="s">
        <v>1378</v>
      </c>
      <c r="H516" t="s">
        <v>14</v>
      </c>
      <c r="I516" s="26">
        <v>42289</v>
      </c>
    </row>
    <row r="517" spans="1:9" x14ac:dyDescent="0.2">
      <c r="A517">
        <v>502</v>
      </c>
      <c r="B517" t="s">
        <v>1407</v>
      </c>
      <c r="C517" t="s">
        <v>1408</v>
      </c>
      <c r="D517" t="s">
        <v>1376</v>
      </c>
      <c r="E517" t="s">
        <v>1392</v>
      </c>
      <c r="F517">
        <v>0</v>
      </c>
      <c r="G517" t="s">
        <v>1378</v>
      </c>
      <c r="H517" t="s">
        <v>14</v>
      </c>
      <c r="I517" s="26">
        <v>42289</v>
      </c>
    </row>
    <row r="518" spans="1:9" x14ac:dyDescent="0.2">
      <c r="A518">
        <v>503</v>
      </c>
      <c r="B518" t="s">
        <v>1407</v>
      </c>
      <c r="C518" t="s">
        <v>1409</v>
      </c>
      <c r="D518" t="s">
        <v>1376</v>
      </c>
      <c r="E518" t="s">
        <v>1392</v>
      </c>
      <c r="F518">
        <v>0</v>
      </c>
      <c r="G518" t="s">
        <v>1378</v>
      </c>
      <c r="H518" t="s">
        <v>14</v>
      </c>
      <c r="I518" s="26">
        <v>42289</v>
      </c>
    </row>
    <row r="519" spans="1:9" x14ac:dyDescent="0.2">
      <c r="A519">
        <v>504</v>
      </c>
      <c r="B519" t="s">
        <v>1410</v>
      </c>
      <c r="C519" t="s">
        <v>1387</v>
      </c>
      <c r="D519" t="s">
        <v>1376</v>
      </c>
      <c r="E519" t="s">
        <v>1389</v>
      </c>
      <c r="F519">
        <v>5104</v>
      </c>
      <c r="G519" t="s">
        <v>1378</v>
      </c>
      <c r="H519" t="s">
        <v>14</v>
      </c>
      <c r="I519" s="26"/>
    </row>
    <row r="520" spans="1:9" x14ac:dyDescent="0.2">
      <c r="A520">
        <v>505</v>
      </c>
      <c r="B520" t="s">
        <v>1411</v>
      </c>
      <c r="C520" t="s">
        <v>1382</v>
      </c>
      <c r="D520" t="s">
        <v>1376</v>
      </c>
      <c r="E520" t="s">
        <v>1412</v>
      </c>
      <c r="F520">
        <v>7191</v>
      </c>
      <c r="G520" t="s">
        <v>1378</v>
      </c>
      <c r="H520" t="s">
        <v>14</v>
      </c>
      <c r="I520" s="26"/>
    </row>
    <row r="521" spans="1:9" x14ac:dyDescent="0.2">
      <c r="A521">
        <v>506</v>
      </c>
      <c r="B521" t="s">
        <v>1413</v>
      </c>
      <c r="C521" t="s">
        <v>1414</v>
      </c>
      <c r="D521" t="s">
        <v>1415</v>
      </c>
      <c r="E521" t="s">
        <v>1416</v>
      </c>
      <c r="F521">
        <v>12448.95</v>
      </c>
      <c r="G521" t="s">
        <v>1417</v>
      </c>
      <c r="H521" t="s">
        <v>14</v>
      </c>
      <c r="I521" s="26"/>
    </row>
    <row r="522" spans="1:9" x14ac:dyDescent="0.2">
      <c r="A522">
        <v>507</v>
      </c>
      <c r="B522" t="s">
        <v>1418</v>
      </c>
      <c r="C522" t="s">
        <v>1419</v>
      </c>
      <c r="D522" t="s">
        <v>1415</v>
      </c>
      <c r="E522" t="s">
        <v>1420</v>
      </c>
      <c r="F522">
        <v>0</v>
      </c>
      <c r="G522" t="s">
        <v>1417</v>
      </c>
      <c r="H522" t="s">
        <v>14</v>
      </c>
      <c r="I522" s="26"/>
    </row>
    <row r="523" spans="1:9" x14ac:dyDescent="0.2">
      <c r="A523">
        <v>508</v>
      </c>
      <c r="B523" t="s">
        <v>1421</v>
      </c>
      <c r="C523" t="s">
        <v>1422</v>
      </c>
      <c r="D523" t="s">
        <v>1415</v>
      </c>
      <c r="E523" t="s">
        <v>1420</v>
      </c>
      <c r="F523">
        <v>0</v>
      </c>
      <c r="G523" t="s">
        <v>1417</v>
      </c>
      <c r="H523" t="s">
        <v>14</v>
      </c>
      <c r="I523" s="26"/>
    </row>
    <row r="524" spans="1:9" x14ac:dyDescent="0.2">
      <c r="A524">
        <v>509</v>
      </c>
      <c r="B524" t="s">
        <v>1423</v>
      </c>
      <c r="C524" t="s">
        <v>1424</v>
      </c>
      <c r="D524" t="s">
        <v>1415</v>
      </c>
      <c r="E524" t="s">
        <v>1420</v>
      </c>
      <c r="F524">
        <v>0</v>
      </c>
      <c r="G524" t="s">
        <v>1417</v>
      </c>
      <c r="H524" t="s">
        <v>14</v>
      </c>
      <c r="I524" s="26"/>
    </row>
    <row r="525" spans="1:9" x14ac:dyDescent="0.2">
      <c r="A525">
        <v>510</v>
      </c>
      <c r="B525" t="s">
        <v>1425</v>
      </c>
      <c r="C525" t="s">
        <v>1426</v>
      </c>
      <c r="D525" t="s">
        <v>1415</v>
      </c>
      <c r="E525" t="s">
        <v>1420</v>
      </c>
      <c r="F525">
        <v>0</v>
      </c>
      <c r="G525" t="s">
        <v>1417</v>
      </c>
      <c r="H525" t="s">
        <v>14</v>
      </c>
      <c r="I525" s="26"/>
    </row>
    <row r="526" spans="1:9" x14ac:dyDescent="0.2">
      <c r="A526">
        <v>511</v>
      </c>
      <c r="B526" t="s">
        <v>1427</v>
      </c>
      <c r="C526" t="s">
        <v>1428</v>
      </c>
      <c r="D526" t="s">
        <v>1415</v>
      </c>
      <c r="E526" t="s">
        <v>1420</v>
      </c>
      <c r="F526">
        <v>0</v>
      </c>
      <c r="G526" t="s">
        <v>1417</v>
      </c>
      <c r="H526" t="s">
        <v>14</v>
      </c>
      <c r="I526" s="26"/>
    </row>
    <row r="527" spans="1:9" x14ac:dyDescent="0.2">
      <c r="A527">
        <v>512</v>
      </c>
      <c r="B527" t="s">
        <v>1429</v>
      </c>
      <c r="C527" t="s">
        <v>1430</v>
      </c>
      <c r="D527" t="s">
        <v>1415</v>
      </c>
      <c r="E527" t="s">
        <v>1420</v>
      </c>
      <c r="F527">
        <v>0</v>
      </c>
      <c r="G527" t="s">
        <v>1417</v>
      </c>
      <c r="H527" t="s">
        <v>14</v>
      </c>
      <c r="I527" s="26"/>
    </row>
    <row r="528" spans="1:9" x14ac:dyDescent="0.2">
      <c r="A528">
        <v>513</v>
      </c>
      <c r="B528" t="s">
        <v>1431</v>
      </c>
      <c r="C528" t="s">
        <v>1432</v>
      </c>
      <c r="D528" t="s">
        <v>1415</v>
      </c>
      <c r="E528" t="s">
        <v>1420</v>
      </c>
      <c r="F528">
        <v>0</v>
      </c>
      <c r="G528" t="s">
        <v>1417</v>
      </c>
      <c r="H528" t="s">
        <v>14</v>
      </c>
      <c r="I528" s="26"/>
    </row>
    <row r="529" spans="1:9" x14ac:dyDescent="0.2">
      <c r="A529">
        <v>514</v>
      </c>
      <c r="B529" t="s">
        <v>1433</v>
      </c>
      <c r="C529" t="s">
        <v>1434</v>
      </c>
      <c r="D529" t="s">
        <v>1415</v>
      </c>
      <c r="E529" t="s">
        <v>1420</v>
      </c>
      <c r="F529">
        <v>0</v>
      </c>
      <c r="G529" t="s">
        <v>1417</v>
      </c>
      <c r="H529" t="s">
        <v>14</v>
      </c>
      <c r="I529" s="26"/>
    </row>
    <row r="530" spans="1:9" x14ac:dyDescent="0.2">
      <c r="A530">
        <v>515</v>
      </c>
      <c r="B530" t="s">
        <v>1435</v>
      </c>
      <c r="C530" t="s">
        <v>1406</v>
      </c>
      <c r="D530" t="s">
        <v>1415</v>
      </c>
      <c r="E530" t="s">
        <v>1420</v>
      </c>
      <c r="F530">
        <v>0</v>
      </c>
      <c r="G530" t="s">
        <v>1417</v>
      </c>
      <c r="H530" t="s">
        <v>14</v>
      </c>
      <c r="I530" s="26"/>
    </row>
    <row r="531" spans="1:9" x14ac:dyDescent="0.2">
      <c r="A531">
        <v>516</v>
      </c>
      <c r="B531" t="s">
        <v>1436</v>
      </c>
      <c r="C531" t="s">
        <v>1437</v>
      </c>
      <c r="D531" t="s">
        <v>1190</v>
      </c>
      <c r="E531" t="s">
        <v>1438</v>
      </c>
      <c r="F531">
        <v>14.632999999999999</v>
      </c>
      <c r="G531" t="s">
        <v>1192</v>
      </c>
      <c r="H531" t="s">
        <v>14</v>
      </c>
      <c r="I531" s="26">
        <v>42289</v>
      </c>
    </row>
    <row r="532" spans="1:9" x14ac:dyDescent="0.2">
      <c r="A532">
        <v>517</v>
      </c>
      <c r="B532" t="s">
        <v>1439</v>
      </c>
      <c r="C532" t="s">
        <v>1440</v>
      </c>
      <c r="D532" t="s">
        <v>1190</v>
      </c>
      <c r="E532" t="s">
        <v>1441</v>
      </c>
      <c r="F532">
        <v>14.6328</v>
      </c>
      <c r="G532" t="s">
        <v>1192</v>
      </c>
      <c r="H532" t="s">
        <v>14</v>
      </c>
      <c r="I532" s="26">
        <v>42290</v>
      </c>
    </row>
    <row r="533" spans="1:9" x14ac:dyDescent="0.2">
      <c r="A533">
        <v>518</v>
      </c>
      <c r="B533" t="s">
        <v>1442</v>
      </c>
      <c r="C533" t="s">
        <v>1443</v>
      </c>
      <c r="D533" t="s">
        <v>1190</v>
      </c>
      <c r="E533" t="s">
        <v>1444</v>
      </c>
      <c r="F533">
        <v>21.046399999999998</v>
      </c>
      <c r="G533" t="s">
        <v>1192</v>
      </c>
      <c r="H533" t="s">
        <v>14</v>
      </c>
      <c r="I533" s="26">
        <v>42339</v>
      </c>
    </row>
    <row r="534" spans="1:9" x14ac:dyDescent="0.2">
      <c r="A534">
        <v>519</v>
      </c>
      <c r="B534" t="s">
        <v>1445</v>
      </c>
      <c r="C534" t="s">
        <v>1446</v>
      </c>
      <c r="D534" t="s">
        <v>1447</v>
      </c>
      <c r="E534" t="s">
        <v>1448</v>
      </c>
      <c r="F534">
        <v>80.92</v>
      </c>
      <c r="G534" t="s">
        <v>1449</v>
      </c>
      <c r="H534" t="s">
        <v>14</v>
      </c>
      <c r="I534" s="26"/>
    </row>
    <row r="535" spans="1:9" x14ac:dyDescent="0.2">
      <c r="A535">
        <v>520</v>
      </c>
      <c r="B535" t="s">
        <v>1450</v>
      </c>
      <c r="C535" t="s">
        <v>1451</v>
      </c>
      <c r="D535" t="s">
        <v>706</v>
      </c>
      <c r="E535" t="s">
        <v>1452</v>
      </c>
      <c r="F535">
        <v>98.1</v>
      </c>
      <c r="G535" t="s">
        <v>708</v>
      </c>
      <c r="H535" t="s">
        <v>14</v>
      </c>
      <c r="I535" s="26">
        <v>42305</v>
      </c>
    </row>
    <row r="536" spans="1:9" x14ac:dyDescent="0.2">
      <c r="A536">
        <v>521</v>
      </c>
      <c r="B536" t="s">
        <v>1453</v>
      </c>
      <c r="C536" t="s">
        <v>1454</v>
      </c>
      <c r="D536" t="s">
        <v>1190</v>
      </c>
      <c r="E536" t="s">
        <v>1455</v>
      </c>
      <c r="F536">
        <v>31.785499999999999</v>
      </c>
      <c r="G536" t="s">
        <v>1192</v>
      </c>
      <c r="H536" t="s">
        <v>14</v>
      </c>
      <c r="I536" s="26">
        <v>42290</v>
      </c>
    </row>
    <row r="537" spans="1:9" x14ac:dyDescent="0.2">
      <c r="A537">
        <v>522</v>
      </c>
      <c r="B537" t="s">
        <v>1456</v>
      </c>
      <c r="C537" t="s">
        <v>1457</v>
      </c>
      <c r="D537" t="s">
        <v>1190</v>
      </c>
      <c r="E537" t="s">
        <v>1458</v>
      </c>
      <c r="F537">
        <v>21.697600000000001</v>
      </c>
      <c r="G537" t="s">
        <v>1192</v>
      </c>
      <c r="H537" t="s">
        <v>14</v>
      </c>
      <c r="I537" s="26">
        <v>42873</v>
      </c>
    </row>
    <row r="538" spans="1:9" x14ac:dyDescent="0.2">
      <c r="A538">
        <v>523</v>
      </c>
      <c r="B538" t="s">
        <v>1459</v>
      </c>
      <c r="C538" t="s">
        <v>1460</v>
      </c>
      <c r="D538" t="s">
        <v>1029</v>
      </c>
      <c r="E538" t="s">
        <v>1461</v>
      </c>
      <c r="F538">
        <v>18.09</v>
      </c>
      <c r="G538" t="s">
        <v>1031</v>
      </c>
      <c r="H538" t="s">
        <v>14</v>
      </c>
      <c r="I538" s="26"/>
    </row>
    <row r="539" spans="1:9" x14ac:dyDescent="0.2">
      <c r="A539">
        <v>524</v>
      </c>
      <c r="B539" t="s">
        <v>1462</v>
      </c>
      <c r="C539" t="s">
        <v>1463</v>
      </c>
      <c r="D539" t="s">
        <v>1029</v>
      </c>
      <c r="E539" t="s">
        <v>1464</v>
      </c>
      <c r="F539">
        <v>9.39</v>
      </c>
      <c r="G539" t="s">
        <v>1031</v>
      </c>
      <c r="H539" t="s">
        <v>14</v>
      </c>
      <c r="I539" s="26"/>
    </row>
    <row r="540" spans="1:9" x14ac:dyDescent="0.2">
      <c r="A540">
        <v>525</v>
      </c>
      <c r="B540" t="s">
        <v>1465</v>
      </c>
      <c r="C540" t="s">
        <v>1466</v>
      </c>
      <c r="D540" t="s">
        <v>123</v>
      </c>
      <c r="E540" t="s">
        <v>1467</v>
      </c>
      <c r="F540">
        <v>12.18</v>
      </c>
      <c r="G540" t="s">
        <v>125</v>
      </c>
      <c r="H540" t="s">
        <v>14</v>
      </c>
      <c r="I540" s="26">
        <v>42289</v>
      </c>
    </row>
    <row r="541" spans="1:9" x14ac:dyDescent="0.2">
      <c r="A541">
        <v>526</v>
      </c>
      <c r="B541" t="s">
        <v>1468</v>
      </c>
      <c r="C541" t="s">
        <v>1469</v>
      </c>
      <c r="D541" t="s">
        <v>1262</v>
      </c>
      <c r="E541" t="s">
        <v>1470</v>
      </c>
      <c r="F541">
        <v>15.68</v>
      </c>
      <c r="G541" t="s">
        <v>1264</v>
      </c>
      <c r="H541" t="s">
        <v>14</v>
      </c>
      <c r="I541" s="26">
        <v>42865</v>
      </c>
    </row>
    <row r="542" spans="1:9" x14ac:dyDescent="0.2">
      <c r="A542">
        <v>527</v>
      </c>
      <c r="B542" t="s">
        <v>1471</v>
      </c>
      <c r="C542" t="s">
        <v>1472</v>
      </c>
      <c r="D542" t="s">
        <v>131</v>
      </c>
      <c r="E542" t="s">
        <v>1473</v>
      </c>
      <c r="F542">
        <v>40</v>
      </c>
      <c r="G542" t="s">
        <v>133</v>
      </c>
      <c r="H542" t="s">
        <v>14</v>
      </c>
      <c r="I542" s="26">
        <v>42290</v>
      </c>
    </row>
    <row r="543" spans="1:9" x14ac:dyDescent="0.2">
      <c r="A543">
        <v>528</v>
      </c>
      <c r="B543" t="s">
        <v>1474</v>
      </c>
      <c r="C543" t="s">
        <v>1475</v>
      </c>
      <c r="D543" t="s">
        <v>123</v>
      </c>
      <c r="E543" t="s">
        <v>1476</v>
      </c>
      <c r="F543">
        <v>40.5</v>
      </c>
      <c r="G543" t="s">
        <v>125</v>
      </c>
      <c r="H543" t="s">
        <v>14</v>
      </c>
      <c r="I543" s="26"/>
    </row>
    <row r="544" spans="1:9" x14ac:dyDescent="0.2">
      <c r="A544">
        <v>529</v>
      </c>
      <c r="B544" t="s">
        <v>1477</v>
      </c>
      <c r="C544" t="s">
        <v>1478</v>
      </c>
      <c r="D544" t="s">
        <v>1190</v>
      </c>
      <c r="E544" t="s">
        <v>1479</v>
      </c>
      <c r="F544">
        <v>14.6328</v>
      </c>
      <c r="G544" t="s">
        <v>1192</v>
      </c>
      <c r="H544" t="s">
        <v>14</v>
      </c>
      <c r="I544" s="26">
        <v>42289</v>
      </c>
    </row>
    <row r="545" spans="1:9" x14ac:dyDescent="0.2">
      <c r="A545">
        <v>530</v>
      </c>
      <c r="B545" t="s">
        <v>1480</v>
      </c>
      <c r="C545" t="s">
        <v>1481</v>
      </c>
      <c r="D545" t="s">
        <v>1262</v>
      </c>
      <c r="E545" t="s">
        <v>1482</v>
      </c>
      <c r="F545">
        <v>18.45</v>
      </c>
      <c r="G545" t="s">
        <v>1264</v>
      </c>
      <c r="H545" t="s">
        <v>14</v>
      </c>
      <c r="I545" s="26">
        <v>43209</v>
      </c>
    </row>
    <row r="546" spans="1:9" x14ac:dyDescent="0.2">
      <c r="A546">
        <v>531</v>
      </c>
      <c r="B546" t="s">
        <v>1483</v>
      </c>
      <c r="C546" t="s">
        <v>1484</v>
      </c>
      <c r="D546" t="s">
        <v>1262</v>
      </c>
      <c r="E546" t="s">
        <v>1485</v>
      </c>
      <c r="G546" t="s">
        <v>1264</v>
      </c>
      <c r="H546" t="s">
        <v>14</v>
      </c>
      <c r="I546" s="26"/>
    </row>
    <row r="547" spans="1:9" x14ac:dyDescent="0.2">
      <c r="A547">
        <v>532</v>
      </c>
      <c r="B547" t="s">
        <v>1486</v>
      </c>
      <c r="C547" t="s">
        <v>1487</v>
      </c>
      <c r="D547" t="s">
        <v>1190</v>
      </c>
      <c r="E547" t="s">
        <v>1488</v>
      </c>
      <c r="F547">
        <v>20.542000000000002</v>
      </c>
      <c r="G547" t="s">
        <v>1192</v>
      </c>
      <c r="H547" t="s">
        <v>14</v>
      </c>
      <c r="I547" s="26">
        <v>42289</v>
      </c>
    </row>
    <row r="548" spans="1:9" x14ac:dyDescent="0.2">
      <c r="A548">
        <v>533</v>
      </c>
      <c r="B548" t="s">
        <v>1489</v>
      </c>
      <c r="C548" t="s">
        <v>1490</v>
      </c>
      <c r="D548" t="s">
        <v>1447</v>
      </c>
      <c r="E548" t="s">
        <v>1491</v>
      </c>
      <c r="F548">
        <v>134</v>
      </c>
      <c r="G548" t="s">
        <v>1449</v>
      </c>
      <c r="H548" t="s">
        <v>14</v>
      </c>
      <c r="I548" s="26"/>
    </row>
    <row r="549" spans="1:9" x14ac:dyDescent="0.2">
      <c r="A549">
        <v>534</v>
      </c>
      <c r="B549" t="s">
        <v>1492</v>
      </c>
      <c r="C549" t="s">
        <v>1493</v>
      </c>
      <c r="D549" t="s">
        <v>1262</v>
      </c>
      <c r="E549" t="s">
        <v>1494</v>
      </c>
      <c r="G549" t="s">
        <v>1264</v>
      </c>
      <c r="H549" t="s">
        <v>14</v>
      </c>
      <c r="I549" s="26"/>
    </row>
    <row r="550" spans="1:9" x14ac:dyDescent="0.2">
      <c r="A550">
        <v>535</v>
      </c>
      <c r="B550" t="s">
        <v>1495</v>
      </c>
      <c r="C550" t="s">
        <v>1422</v>
      </c>
      <c r="D550" t="s">
        <v>4558</v>
      </c>
      <c r="E550" t="s">
        <v>1496</v>
      </c>
      <c r="F550">
        <v>1.1499999999999999</v>
      </c>
      <c r="G550" t="s">
        <v>610</v>
      </c>
      <c r="H550" t="s">
        <v>14</v>
      </c>
      <c r="I550" s="26">
        <v>42873</v>
      </c>
    </row>
    <row r="551" spans="1:9" x14ac:dyDescent="0.2">
      <c r="A551">
        <v>536</v>
      </c>
      <c r="B551" t="s">
        <v>1497</v>
      </c>
      <c r="C551" t="s">
        <v>1498</v>
      </c>
      <c r="D551" t="s">
        <v>1190</v>
      </c>
      <c r="E551" t="s">
        <v>1499</v>
      </c>
      <c r="F551">
        <v>32.986800000000002</v>
      </c>
      <c r="G551" t="s">
        <v>1192</v>
      </c>
      <c r="H551" t="s">
        <v>14</v>
      </c>
      <c r="I551" s="26">
        <v>42289</v>
      </c>
    </row>
    <row r="552" spans="1:9" x14ac:dyDescent="0.2">
      <c r="A552">
        <v>537</v>
      </c>
      <c r="B552" t="s">
        <v>1500</v>
      </c>
      <c r="C552" t="s">
        <v>1501</v>
      </c>
      <c r="D552" t="s">
        <v>1190</v>
      </c>
      <c r="E552" t="s">
        <v>1502</v>
      </c>
      <c r="F552">
        <v>52.433</v>
      </c>
      <c r="G552" t="s">
        <v>1192</v>
      </c>
      <c r="H552" t="s">
        <v>14</v>
      </c>
      <c r="I552" s="26">
        <v>42290</v>
      </c>
    </row>
    <row r="553" spans="1:9" x14ac:dyDescent="0.2">
      <c r="A553">
        <v>538</v>
      </c>
      <c r="B553" t="s">
        <v>1503</v>
      </c>
      <c r="C553" t="s">
        <v>1504</v>
      </c>
      <c r="D553" t="s">
        <v>1447</v>
      </c>
      <c r="E553" t="s">
        <v>1505</v>
      </c>
      <c r="F553">
        <v>107.5</v>
      </c>
      <c r="G553" t="s">
        <v>1449</v>
      </c>
      <c r="H553" t="s">
        <v>14</v>
      </c>
      <c r="I553" s="26">
        <v>42290</v>
      </c>
    </row>
    <row r="554" spans="1:9" x14ac:dyDescent="0.2">
      <c r="A554">
        <v>539</v>
      </c>
      <c r="B554" t="s">
        <v>1506</v>
      </c>
      <c r="C554" t="s">
        <v>1507</v>
      </c>
      <c r="D554" t="s">
        <v>1447</v>
      </c>
      <c r="E554" t="s">
        <v>1508</v>
      </c>
      <c r="F554">
        <v>125.91</v>
      </c>
      <c r="G554" t="s">
        <v>1449</v>
      </c>
      <c r="H554" t="s">
        <v>14</v>
      </c>
      <c r="I554" s="26">
        <v>43217</v>
      </c>
    </row>
    <row r="555" spans="1:9" x14ac:dyDescent="0.2">
      <c r="A555">
        <v>540</v>
      </c>
      <c r="B555" t="s">
        <v>1509</v>
      </c>
      <c r="C555" t="s">
        <v>1510</v>
      </c>
      <c r="D555" t="s">
        <v>1447</v>
      </c>
      <c r="E555" t="s">
        <v>1511</v>
      </c>
      <c r="F555">
        <v>138.46</v>
      </c>
      <c r="G555" t="s">
        <v>1449</v>
      </c>
      <c r="H555" t="s">
        <v>14</v>
      </c>
      <c r="I555" s="26">
        <v>43217</v>
      </c>
    </row>
    <row r="556" spans="1:9" x14ac:dyDescent="0.2">
      <c r="A556">
        <v>541</v>
      </c>
      <c r="B556" t="s">
        <v>1512</v>
      </c>
      <c r="C556" t="s">
        <v>1513</v>
      </c>
      <c r="D556" t="s">
        <v>123</v>
      </c>
      <c r="E556" t="s">
        <v>1514</v>
      </c>
      <c r="F556">
        <v>50.624000000000002</v>
      </c>
      <c r="G556" t="s">
        <v>125</v>
      </c>
      <c r="H556" t="s">
        <v>14</v>
      </c>
      <c r="I556" s="26">
        <v>42290</v>
      </c>
    </row>
    <row r="557" spans="1:9" x14ac:dyDescent="0.2">
      <c r="A557">
        <v>542</v>
      </c>
      <c r="B557" t="s">
        <v>1515</v>
      </c>
      <c r="C557" t="s">
        <v>1516</v>
      </c>
      <c r="D557" t="s">
        <v>40</v>
      </c>
      <c r="E557" t="s">
        <v>1517</v>
      </c>
      <c r="F557">
        <v>38.42</v>
      </c>
      <c r="G557" t="s">
        <v>42</v>
      </c>
      <c r="H557" t="s">
        <v>14</v>
      </c>
      <c r="I557" s="26">
        <v>42339</v>
      </c>
    </row>
    <row r="558" spans="1:9" x14ac:dyDescent="0.2">
      <c r="A558">
        <v>545</v>
      </c>
      <c r="B558" t="s">
        <v>4580</v>
      </c>
      <c r="C558" t="s">
        <v>4567</v>
      </c>
      <c r="D558" t="s">
        <v>40</v>
      </c>
      <c r="E558" t="s">
        <v>4568</v>
      </c>
      <c r="F558">
        <v>0</v>
      </c>
      <c r="G558" t="s">
        <v>42</v>
      </c>
      <c r="H558" t="s">
        <v>14</v>
      </c>
      <c r="I558" s="26">
        <v>42467</v>
      </c>
    </row>
    <row r="559" spans="1:9" x14ac:dyDescent="0.2">
      <c r="A559">
        <v>546</v>
      </c>
      <c r="B559" t="s">
        <v>4581</v>
      </c>
      <c r="C559" t="s">
        <v>4573</v>
      </c>
      <c r="D559" t="s">
        <v>40</v>
      </c>
      <c r="E559" t="s">
        <v>1523</v>
      </c>
      <c r="F559">
        <v>0</v>
      </c>
      <c r="G559" t="s">
        <v>42</v>
      </c>
      <c r="H559" t="s">
        <v>14</v>
      </c>
      <c r="I559" s="26">
        <v>42467</v>
      </c>
    </row>
    <row r="560" spans="1:9" x14ac:dyDescent="0.2">
      <c r="A560">
        <v>547</v>
      </c>
      <c r="B560" t="s">
        <v>1518</v>
      </c>
      <c r="C560" t="s">
        <v>1519</v>
      </c>
      <c r="D560" t="s">
        <v>40</v>
      </c>
      <c r="E560" t="s">
        <v>1520</v>
      </c>
      <c r="F560">
        <v>56.66</v>
      </c>
      <c r="G560" t="s">
        <v>42</v>
      </c>
      <c r="H560" t="s">
        <v>14</v>
      </c>
      <c r="I560" s="26">
        <v>42430</v>
      </c>
    </row>
    <row r="561" spans="1:9" x14ac:dyDescent="0.2">
      <c r="A561">
        <v>548</v>
      </c>
      <c r="B561" t="s">
        <v>1521</v>
      </c>
      <c r="C561" t="s">
        <v>1522</v>
      </c>
      <c r="D561" t="s">
        <v>40</v>
      </c>
      <c r="E561" t="s">
        <v>1523</v>
      </c>
      <c r="G561" t="s">
        <v>42</v>
      </c>
      <c r="H561" t="s">
        <v>14</v>
      </c>
      <c r="I561" s="26"/>
    </row>
    <row r="562" spans="1:9" x14ac:dyDescent="0.2">
      <c r="A562">
        <v>549</v>
      </c>
      <c r="B562" t="s">
        <v>1524</v>
      </c>
      <c r="C562" t="s">
        <v>1525</v>
      </c>
      <c r="D562" t="s">
        <v>40</v>
      </c>
      <c r="E562" t="s">
        <v>1526</v>
      </c>
      <c r="G562" t="s">
        <v>42</v>
      </c>
      <c r="H562" t="s">
        <v>14</v>
      </c>
      <c r="I562" s="26">
        <v>42430</v>
      </c>
    </row>
    <row r="563" spans="1:9" x14ac:dyDescent="0.2">
      <c r="A563">
        <v>550</v>
      </c>
      <c r="B563" t="s">
        <v>1527</v>
      </c>
      <c r="C563" t="s">
        <v>1528</v>
      </c>
      <c r="D563" t="s">
        <v>40</v>
      </c>
      <c r="E563" t="s">
        <v>1529</v>
      </c>
      <c r="F563">
        <v>60.63</v>
      </c>
      <c r="G563" t="s">
        <v>42</v>
      </c>
      <c r="H563" t="s">
        <v>14</v>
      </c>
      <c r="I563" s="26"/>
    </row>
    <row r="564" spans="1:9" x14ac:dyDescent="0.2">
      <c r="A564">
        <v>551</v>
      </c>
      <c r="B564" t="s">
        <v>1530</v>
      </c>
      <c r="C564" t="s">
        <v>402</v>
      </c>
      <c r="D564" t="s">
        <v>40</v>
      </c>
      <c r="E564" t="s">
        <v>625</v>
      </c>
      <c r="F564">
        <v>0</v>
      </c>
      <c r="G564" t="s">
        <v>42</v>
      </c>
      <c r="H564" t="s">
        <v>14</v>
      </c>
      <c r="I564" s="26">
        <v>42963</v>
      </c>
    </row>
    <row r="565" spans="1:9" x14ac:dyDescent="0.2">
      <c r="A565">
        <v>552</v>
      </c>
      <c r="B565" t="s">
        <v>1531</v>
      </c>
      <c r="C565" t="s">
        <v>1532</v>
      </c>
      <c r="D565" t="s">
        <v>40</v>
      </c>
      <c r="E565" t="s">
        <v>1523</v>
      </c>
      <c r="F565">
        <v>0</v>
      </c>
      <c r="G565" t="s">
        <v>42</v>
      </c>
      <c r="H565" t="s">
        <v>14</v>
      </c>
      <c r="I565" s="26">
        <v>42963</v>
      </c>
    </row>
    <row r="566" spans="1:9" x14ac:dyDescent="0.2">
      <c r="A566">
        <v>553</v>
      </c>
      <c r="B566" t="s">
        <v>1533</v>
      </c>
      <c r="C566" t="s">
        <v>402</v>
      </c>
      <c r="D566" t="s">
        <v>40</v>
      </c>
      <c r="E566" t="s">
        <v>625</v>
      </c>
      <c r="F566">
        <v>0</v>
      </c>
      <c r="G566" t="s">
        <v>42</v>
      </c>
      <c r="H566" t="s">
        <v>14</v>
      </c>
      <c r="I566" s="26">
        <v>42963</v>
      </c>
    </row>
    <row r="567" spans="1:9" x14ac:dyDescent="0.2">
      <c r="A567">
        <v>554</v>
      </c>
      <c r="B567" t="s">
        <v>1534</v>
      </c>
      <c r="C567" t="s">
        <v>1535</v>
      </c>
      <c r="D567" t="s">
        <v>40</v>
      </c>
      <c r="E567" t="s">
        <v>1536</v>
      </c>
      <c r="F567">
        <v>149.69999999999999</v>
      </c>
      <c r="G567" t="s">
        <v>42</v>
      </c>
      <c r="H567" t="s">
        <v>14</v>
      </c>
      <c r="I567" s="26"/>
    </row>
    <row r="568" spans="1:9" x14ac:dyDescent="0.2">
      <c r="A568">
        <v>555</v>
      </c>
      <c r="B568" t="s">
        <v>1537</v>
      </c>
      <c r="C568" t="s">
        <v>1538</v>
      </c>
      <c r="D568" t="s">
        <v>508</v>
      </c>
      <c r="E568" t="s">
        <v>1539</v>
      </c>
      <c r="F568">
        <v>29.36</v>
      </c>
      <c r="G568" t="s">
        <v>510</v>
      </c>
      <c r="H568" t="s">
        <v>14</v>
      </c>
      <c r="I568" s="26">
        <v>42339</v>
      </c>
    </row>
    <row r="569" spans="1:9" x14ac:dyDescent="0.2">
      <c r="A569">
        <v>556</v>
      </c>
      <c r="B569" t="s">
        <v>1540</v>
      </c>
      <c r="C569" t="s">
        <v>1538</v>
      </c>
      <c r="D569" t="s">
        <v>508</v>
      </c>
      <c r="E569" t="s">
        <v>1541</v>
      </c>
      <c r="F569">
        <v>26.32</v>
      </c>
      <c r="G569" t="s">
        <v>510</v>
      </c>
      <c r="H569" t="s">
        <v>14</v>
      </c>
      <c r="I569" s="26">
        <v>42339</v>
      </c>
    </row>
    <row r="570" spans="1:9" x14ac:dyDescent="0.2">
      <c r="A570">
        <v>557</v>
      </c>
      <c r="B570" t="s">
        <v>1542</v>
      </c>
      <c r="C570" t="s">
        <v>1538</v>
      </c>
      <c r="D570" t="s">
        <v>508</v>
      </c>
      <c r="E570" t="s">
        <v>1543</v>
      </c>
      <c r="F570">
        <v>39.369999999999997</v>
      </c>
      <c r="G570" t="s">
        <v>510</v>
      </c>
      <c r="H570" t="s">
        <v>14</v>
      </c>
      <c r="I570" s="26">
        <v>42289</v>
      </c>
    </row>
    <row r="571" spans="1:9" x14ac:dyDescent="0.2">
      <c r="A571">
        <v>558</v>
      </c>
      <c r="B571" t="s">
        <v>1544</v>
      </c>
      <c r="C571" t="s">
        <v>1545</v>
      </c>
      <c r="D571" t="s">
        <v>508</v>
      </c>
      <c r="E571" t="s">
        <v>1546</v>
      </c>
      <c r="F571">
        <v>46.18</v>
      </c>
      <c r="G571" t="s">
        <v>510</v>
      </c>
      <c r="H571" t="s">
        <v>14</v>
      </c>
      <c r="I571" s="26">
        <v>42339</v>
      </c>
    </row>
    <row r="572" spans="1:9" x14ac:dyDescent="0.2">
      <c r="A572">
        <v>559</v>
      </c>
      <c r="B572" t="s">
        <v>1547</v>
      </c>
      <c r="C572" t="s">
        <v>1548</v>
      </c>
      <c r="D572" t="s">
        <v>508</v>
      </c>
      <c r="E572" t="s">
        <v>1549</v>
      </c>
      <c r="F572">
        <v>50.99</v>
      </c>
      <c r="G572" t="s">
        <v>510</v>
      </c>
      <c r="H572" t="s">
        <v>14</v>
      </c>
      <c r="I572" s="26">
        <v>42290</v>
      </c>
    </row>
    <row r="573" spans="1:9" x14ac:dyDescent="0.2">
      <c r="A573">
        <v>560</v>
      </c>
      <c r="B573" t="s">
        <v>1550</v>
      </c>
      <c r="C573" t="s">
        <v>1551</v>
      </c>
      <c r="D573" t="s">
        <v>1447</v>
      </c>
      <c r="E573" t="s">
        <v>1552</v>
      </c>
      <c r="F573">
        <v>42.87</v>
      </c>
      <c r="G573" t="s">
        <v>1449</v>
      </c>
      <c r="H573" t="s">
        <v>14</v>
      </c>
      <c r="I573" s="26">
        <v>43206</v>
      </c>
    </row>
    <row r="574" spans="1:9" x14ac:dyDescent="0.2">
      <c r="A574">
        <v>561</v>
      </c>
      <c r="B574" t="s">
        <v>1553</v>
      </c>
      <c r="C574" t="s">
        <v>1554</v>
      </c>
      <c r="D574" t="s">
        <v>1447</v>
      </c>
      <c r="E574" t="s">
        <v>1555</v>
      </c>
      <c r="F574">
        <v>284.74</v>
      </c>
      <c r="G574" t="s">
        <v>1449</v>
      </c>
      <c r="H574" t="s">
        <v>14</v>
      </c>
      <c r="I574" s="26"/>
    </row>
    <row r="575" spans="1:9" x14ac:dyDescent="0.2">
      <c r="A575">
        <v>562</v>
      </c>
      <c r="B575" t="s">
        <v>1556</v>
      </c>
      <c r="C575" t="s">
        <v>1557</v>
      </c>
      <c r="D575" t="s">
        <v>1447</v>
      </c>
      <c r="E575" t="s">
        <v>1558</v>
      </c>
      <c r="F575">
        <v>322</v>
      </c>
      <c r="G575" t="s">
        <v>1449</v>
      </c>
      <c r="H575" t="s">
        <v>14</v>
      </c>
      <c r="I575" s="26">
        <v>42418</v>
      </c>
    </row>
    <row r="576" spans="1:9" x14ac:dyDescent="0.2">
      <c r="A576">
        <v>563</v>
      </c>
      <c r="B576" t="s">
        <v>1559</v>
      </c>
      <c r="C576" t="s">
        <v>1560</v>
      </c>
      <c r="D576" t="s">
        <v>1561</v>
      </c>
      <c r="E576" t="s">
        <v>1562</v>
      </c>
      <c r="F576">
        <v>2220.35</v>
      </c>
      <c r="G576" t="s">
        <v>1563</v>
      </c>
      <c r="H576" t="s">
        <v>14</v>
      </c>
      <c r="I576" s="26"/>
    </row>
    <row r="577" spans="1:9" x14ac:dyDescent="0.2">
      <c r="A577">
        <v>564</v>
      </c>
      <c r="B577" t="s">
        <v>1564</v>
      </c>
      <c r="C577" t="s">
        <v>1565</v>
      </c>
      <c r="D577" t="s">
        <v>1561</v>
      </c>
      <c r="E577" t="s">
        <v>1562</v>
      </c>
      <c r="F577">
        <v>1993.25</v>
      </c>
      <c r="G577" t="s">
        <v>1563</v>
      </c>
      <c r="H577" t="s">
        <v>14</v>
      </c>
      <c r="I577" s="26"/>
    </row>
    <row r="578" spans="1:9" x14ac:dyDescent="0.2">
      <c r="A578">
        <v>565</v>
      </c>
      <c r="B578" t="s">
        <v>1566</v>
      </c>
      <c r="C578" t="s">
        <v>1567</v>
      </c>
      <c r="D578" t="s">
        <v>573</v>
      </c>
      <c r="E578" t="s">
        <v>927</v>
      </c>
      <c r="G578" t="s">
        <v>574</v>
      </c>
      <c r="H578" t="s">
        <v>14</v>
      </c>
      <c r="I578" s="26"/>
    </row>
    <row r="579" spans="1:9" x14ac:dyDescent="0.2">
      <c r="A579">
        <v>566</v>
      </c>
      <c r="B579" t="s">
        <v>1568</v>
      </c>
      <c r="C579" t="s">
        <v>1569</v>
      </c>
      <c r="D579" t="s">
        <v>1561</v>
      </c>
      <c r="E579" t="s">
        <v>1570</v>
      </c>
      <c r="F579">
        <v>2493.15</v>
      </c>
      <c r="G579" t="s">
        <v>1563</v>
      </c>
      <c r="H579" t="s">
        <v>14</v>
      </c>
      <c r="I579" s="26"/>
    </row>
    <row r="580" spans="1:9" x14ac:dyDescent="0.2">
      <c r="A580">
        <v>567</v>
      </c>
      <c r="B580" t="s">
        <v>1571</v>
      </c>
      <c r="C580" t="s">
        <v>1572</v>
      </c>
      <c r="D580" t="s">
        <v>1561</v>
      </c>
      <c r="E580" t="s">
        <v>1573</v>
      </c>
      <c r="G580" t="s">
        <v>1563</v>
      </c>
      <c r="H580" t="s">
        <v>14</v>
      </c>
      <c r="I580" s="26"/>
    </row>
    <row r="581" spans="1:9" x14ac:dyDescent="0.2">
      <c r="A581">
        <v>568</v>
      </c>
      <c r="B581" t="s">
        <v>1574</v>
      </c>
      <c r="C581" t="s">
        <v>1575</v>
      </c>
      <c r="D581" t="s">
        <v>1561</v>
      </c>
      <c r="E581" t="s">
        <v>1573</v>
      </c>
      <c r="G581" t="s">
        <v>1563</v>
      </c>
      <c r="H581" t="s">
        <v>14</v>
      </c>
      <c r="I581" s="26"/>
    </row>
    <row r="582" spans="1:9" x14ac:dyDescent="0.2">
      <c r="A582">
        <v>569</v>
      </c>
      <c r="B582" t="s">
        <v>1576</v>
      </c>
      <c r="C582" t="s">
        <v>1577</v>
      </c>
      <c r="D582" t="s">
        <v>1561</v>
      </c>
      <c r="E582" t="s">
        <v>1573</v>
      </c>
      <c r="G582" t="s">
        <v>1563</v>
      </c>
      <c r="H582" t="s">
        <v>14</v>
      </c>
      <c r="I582" s="26"/>
    </row>
    <row r="583" spans="1:9" x14ac:dyDescent="0.2">
      <c r="A583">
        <v>570</v>
      </c>
      <c r="B583" t="s">
        <v>1578</v>
      </c>
      <c r="C583" t="s">
        <v>1579</v>
      </c>
      <c r="D583" t="s">
        <v>1561</v>
      </c>
      <c r="E583" t="s">
        <v>1573</v>
      </c>
      <c r="G583" t="s">
        <v>1563</v>
      </c>
      <c r="H583" t="s">
        <v>14</v>
      </c>
      <c r="I583" s="26"/>
    </row>
    <row r="584" spans="1:9" x14ac:dyDescent="0.2">
      <c r="A584">
        <v>571</v>
      </c>
      <c r="B584" t="s">
        <v>1580</v>
      </c>
      <c r="C584" t="s">
        <v>1581</v>
      </c>
      <c r="D584" t="s">
        <v>1561</v>
      </c>
      <c r="E584" t="s">
        <v>1573</v>
      </c>
      <c r="G584" t="s">
        <v>1563</v>
      </c>
      <c r="H584" t="s">
        <v>14</v>
      </c>
      <c r="I584" s="26"/>
    </row>
    <row r="585" spans="1:9" x14ac:dyDescent="0.2">
      <c r="A585">
        <v>572</v>
      </c>
      <c r="B585" t="s">
        <v>1582</v>
      </c>
      <c r="C585" t="s">
        <v>1583</v>
      </c>
      <c r="D585" t="s">
        <v>1561</v>
      </c>
      <c r="E585" t="s">
        <v>1570</v>
      </c>
      <c r="F585">
        <v>2241.6</v>
      </c>
      <c r="G585" t="s">
        <v>1563</v>
      </c>
      <c r="H585" t="s">
        <v>14</v>
      </c>
      <c r="I585" s="26"/>
    </row>
    <row r="586" spans="1:9" x14ac:dyDescent="0.2">
      <c r="A586">
        <v>573</v>
      </c>
      <c r="B586" t="s">
        <v>1584</v>
      </c>
      <c r="C586" t="s">
        <v>1585</v>
      </c>
      <c r="D586" t="s">
        <v>26</v>
      </c>
      <c r="E586" t="s">
        <v>1586</v>
      </c>
      <c r="F586">
        <v>120.45</v>
      </c>
      <c r="G586" t="s">
        <v>27</v>
      </c>
      <c r="H586" t="s">
        <v>14</v>
      </c>
      <c r="I586" s="26">
        <v>43217</v>
      </c>
    </row>
    <row r="587" spans="1:9" x14ac:dyDescent="0.2">
      <c r="A587">
        <v>574</v>
      </c>
      <c r="B587" t="s">
        <v>1587</v>
      </c>
      <c r="C587" t="s">
        <v>1588</v>
      </c>
      <c r="D587" t="s">
        <v>26</v>
      </c>
      <c r="E587" t="s">
        <v>1587</v>
      </c>
      <c r="F587">
        <v>104.25</v>
      </c>
      <c r="G587" t="s">
        <v>27</v>
      </c>
      <c r="H587" t="s">
        <v>14</v>
      </c>
      <c r="I587" s="26">
        <v>43217</v>
      </c>
    </row>
    <row r="588" spans="1:9" x14ac:dyDescent="0.2">
      <c r="A588">
        <v>575</v>
      </c>
      <c r="B588" t="s">
        <v>1589</v>
      </c>
      <c r="C588" t="s">
        <v>1590</v>
      </c>
      <c r="D588" t="s">
        <v>26</v>
      </c>
      <c r="E588" t="s">
        <v>1591</v>
      </c>
      <c r="F588">
        <v>26.03</v>
      </c>
      <c r="G588" t="s">
        <v>27</v>
      </c>
      <c r="H588" t="s">
        <v>14</v>
      </c>
      <c r="I588" s="26"/>
    </row>
    <row r="589" spans="1:9" x14ac:dyDescent="0.2">
      <c r="A589">
        <v>576</v>
      </c>
      <c r="B589" t="s">
        <v>1592</v>
      </c>
      <c r="C589" t="s">
        <v>1593</v>
      </c>
      <c r="D589" t="s">
        <v>1206</v>
      </c>
      <c r="E589" t="s">
        <v>1594</v>
      </c>
      <c r="F589">
        <v>2.9</v>
      </c>
      <c r="G589" t="s">
        <v>1208</v>
      </c>
      <c r="H589" t="s">
        <v>14</v>
      </c>
      <c r="I589" s="26"/>
    </row>
    <row r="590" spans="1:9" x14ac:dyDescent="0.2">
      <c r="A590">
        <v>577</v>
      </c>
      <c r="B590" t="s">
        <v>1595</v>
      </c>
      <c r="C590" t="s">
        <v>1596</v>
      </c>
      <c r="D590" t="s">
        <v>801</v>
      </c>
      <c r="E590" t="s">
        <v>1597</v>
      </c>
      <c r="F590">
        <v>1166</v>
      </c>
      <c r="G590" t="s">
        <v>803</v>
      </c>
      <c r="H590" t="s">
        <v>14</v>
      </c>
      <c r="I590" s="26"/>
    </row>
    <row r="591" spans="1:9" x14ac:dyDescent="0.2">
      <c r="A591">
        <v>578</v>
      </c>
      <c r="B591" t="s">
        <v>1598</v>
      </c>
      <c r="C591" t="s">
        <v>1599</v>
      </c>
      <c r="D591" t="s">
        <v>754</v>
      </c>
      <c r="E591" t="s">
        <v>1600</v>
      </c>
      <c r="F591">
        <v>216</v>
      </c>
      <c r="G591" t="s">
        <v>756</v>
      </c>
      <c r="H591" t="s">
        <v>14</v>
      </c>
      <c r="I591" s="26"/>
    </row>
    <row r="592" spans="1:9" x14ac:dyDescent="0.2">
      <c r="A592">
        <v>579</v>
      </c>
      <c r="B592" t="s">
        <v>1601</v>
      </c>
      <c r="C592" t="s">
        <v>1602</v>
      </c>
      <c r="D592" t="s">
        <v>754</v>
      </c>
      <c r="E592" t="s">
        <v>1603</v>
      </c>
      <c r="F592">
        <v>1519.8</v>
      </c>
      <c r="G592" t="s">
        <v>756</v>
      </c>
      <c r="H592" t="s">
        <v>14</v>
      </c>
      <c r="I592" s="26"/>
    </row>
    <row r="593" spans="1:9" x14ac:dyDescent="0.2">
      <c r="A593">
        <v>580</v>
      </c>
      <c r="B593" t="s">
        <v>1604</v>
      </c>
      <c r="C593" t="s">
        <v>1605</v>
      </c>
      <c r="D593" t="s">
        <v>1606</v>
      </c>
      <c r="E593" t="s">
        <v>1607</v>
      </c>
      <c r="F593">
        <v>5370</v>
      </c>
      <c r="G593" t="s">
        <v>1608</v>
      </c>
      <c r="H593" t="s">
        <v>14</v>
      </c>
      <c r="I593" s="26"/>
    </row>
    <row r="594" spans="1:9" x14ac:dyDescent="0.2">
      <c r="A594">
        <v>581</v>
      </c>
      <c r="B594" t="s">
        <v>1609</v>
      </c>
      <c r="C594" t="s">
        <v>1610</v>
      </c>
      <c r="D594" t="s">
        <v>801</v>
      </c>
      <c r="E594" t="s">
        <v>1611</v>
      </c>
      <c r="F594">
        <v>1439.4</v>
      </c>
      <c r="G594" t="s">
        <v>803</v>
      </c>
      <c r="H594" t="s">
        <v>14</v>
      </c>
      <c r="I594" s="26"/>
    </row>
    <row r="595" spans="1:9" x14ac:dyDescent="0.2">
      <c r="A595">
        <v>582</v>
      </c>
      <c r="B595" t="s">
        <v>1612</v>
      </c>
      <c r="C595" t="s">
        <v>1613</v>
      </c>
      <c r="D595" t="s">
        <v>801</v>
      </c>
      <c r="E595" t="s">
        <v>1614</v>
      </c>
      <c r="F595">
        <v>2038</v>
      </c>
      <c r="G595" t="s">
        <v>803</v>
      </c>
      <c r="H595" t="s">
        <v>14</v>
      </c>
      <c r="I595" s="26"/>
    </row>
    <row r="596" spans="1:9" x14ac:dyDescent="0.2">
      <c r="A596">
        <v>583</v>
      </c>
      <c r="B596" t="s">
        <v>1615</v>
      </c>
      <c r="C596" t="s">
        <v>1616</v>
      </c>
      <c r="D596" t="s">
        <v>801</v>
      </c>
      <c r="E596" t="s">
        <v>1617</v>
      </c>
      <c r="F596">
        <v>1371</v>
      </c>
      <c r="G596" t="s">
        <v>803</v>
      </c>
      <c r="H596" t="s">
        <v>14</v>
      </c>
      <c r="I596" s="26"/>
    </row>
    <row r="597" spans="1:9" x14ac:dyDescent="0.2">
      <c r="A597">
        <v>584</v>
      </c>
      <c r="B597" t="s">
        <v>1618</v>
      </c>
      <c r="C597" t="s">
        <v>1619</v>
      </c>
      <c r="D597" t="s">
        <v>1620</v>
      </c>
      <c r="E597" t="s">
        <v>1621</v>
      </c>
      <c r="F597">
        <v>960.29</v>
      </c>
      <c r="G597" t="s">
        <v>1622</v>
      </c>
      <c r="H597" t="s">
        <v>14</v>
      </c>
      <c r="I597" s="26">
        <v>42305</v>
      </c>
    </row>
    <row r="598" spans="1:9" x14ac:dyDescent="0.2">
      <c r="A598">
        <v>585</v>
      </c>
      <c r="B598" t="s">
        <v>1623</v>
      </c>
      <c r="C598" t="s">
        <v>1624</v>
      </c>
      <c r="D598" t="s">
        <v>537</v>
      </c>
      <c r="E598" t="s">
        <v>1625</v>
      </c>
      <c r="F598">
        <v>4.33</v>
      </c>
      <c r="G598" t="s">
        <v>539</v>
      </c>
      <c r="H598" t="s">
        <v>14</v>
      </c>
      <c r="I598" s="26">
        <v>42289</v>
      </c>
    </row>
    <row r="599" spans="1:9" x14ac:dyDescent="0.2">
      <c r="A599">
        <v>586</v>
      </c>
      <c r="B599" t="s">
        <v>1626</v>
      </c>
      <c r="C599" t="s">
        <v>1627</v>
      </c>
      <c r="D599" t="s">
        <v>1628</v>
      </c>
      <c r="E599" t="s">
        <v>1629</v>
      </c>
      <c r="F599">
        <v>0.54</v>
      </c>
      <c r="G599" t="s">
        <v>1630</v>
      </c>
      <c r="H599" t="s">
        <v>14</v>
      </c>
      <c r="I599" s="26">
        <v>43217</v>
      </c>
    </row>
    <row r="600" spans="1:9" x14ac:dyDescent="0.2">
      <c r="A600">
        <v>587</v>
      </c>
      <c r="B600" t="s">
        <v>1631</v>
      </c>
      <c r="C600" t="s">
        <v>1632</v>
      </c>
      <c r="D600" t="s">
        <v>1633</v>
      </c>
      <c r="E600" t="s">
        <v>1634</v>
      </c>
      <c r="F600">
        <v>0.8</v>
      </c>
      <c r="G600" t="s">
        <v>1635</v>
      </c>
      <c r="H600" t="s">
        <v>14</v>
      </c>
      <c r="I600" s="26">
        <v>42551</v>
      </c>
    </row>
    <row r="601" spans="1:9" x14ac:dyDescent="0.2">
      <c r="A601">
        <v>588</v>
      </c>
      <c r="B601" t="s">
        <v>1636</v>
      </c>
      <c r="C601" t="s">
        <v>1637</v>
      </c>
      <c r="D601" t="s">
        <v>1628</v>
      </c>
      <c r="E601" t="s">
        <v>1638</v>
      </c>
      <c r="F601">
        <v>0.3</v>
      </c>
      <c r="G601" t="s">
        <v>1630</v>
      </c>
      <c r="H601" t="s">
        <v>14</v>
      </c>
      <c r="I601" s="26">
        <v>42551</v>
      </c>
    </row>
    <row r="602" spans="1:9" x14ac:dyDescent="0.2">
      <c r="A602">
        <v>589</v>
      </c>
      <c r="B602" t="s">
        <v>1639</v>
      </c>
      <c r="C602" t="s">
        <v>1640</v>
      </c>
      <c r="D602" t="s">
        <v>1628</v>
      </c>
      <c r="E602" t="s">
        <v>1641</v>
      </c>
      <c r="F602">
        <v>0.62180000000000002</v>
      </c>
      <c r="G602" t="s">
        <v>1630</v>
      </c>
      <c r="H602" t="s">
        <v>14</v>
      </c>
      <c r="I602" s="26">
        <v>42551</v>
      </c>
    </row>
    <row r="603" spans="1:9" x14ac:dyDescent="0.2">
      <c r="A603">
        <v>590</v>
      </c>
      <c r="B603" t="s">
        <v>1642</v>
      </c>
      <c r="C603" t="s">
        <v>1643</v>
      </c>
      <c r="D603" t="s">
        <v>1628</v>
      </c>
      <c r="E603" t="s">
        <v>1644</v>
      </c>
      <c r="F603">
        <v>0.72519999999999996</v>
      </c>
      <c r="G603" t="s">
        <v>1630</v>
      </c>
      <c r="H603" t="s">
        <v>14</v>
      </c>
      <c r="I603" s="26">
        <v>42551</v>
      </c>
    </row>
    <row r="604" spans="1:9" x14ac:dyDescent="0.2">
      <c r="A604">
        <v>591</v>
      </c>
      <c r="B604" t="s">
        <v>1645</v>
      </c>
      <c r="C604" t="s">
        <v>1646</v>
      </c>
      <c r="D604" t="s">
        <v>1628</v>
      </c>
      <c r="E604" t="s">
        <v>1647</v>
      </c>
      <c r="F604">
        <v>0.73</v>
      </c>
      <c r="G604" t="s">
        <v>1630</v>
      </c>
      <c r="H604" t="s">
        <v>14</v>
      </c>
      <c r="I604" s="26">
        <v>42551</v>
      </c>
    </row>
    <row r="605" spans="1:9" x14ac:dyDescent="0.2">
      <c r="A605">
        <v>592</v>
      </c>
      <c r="B605" t="s">
        <v>1648</v>
      </c>
      <c r="C605" t="s">
        <v>1649</v>
      </c>
      <c r="D605" t="s">
        <v>1628</v>
      </c>
      <c r="E605" t="s">
        <v>1650</v>
      </c>
      <c r="F605">
        <v>0.85799999999999998</v>
      </c>
      <c r="G605" t="s">
        <v>1630</v>
      </c>
      <c r="H605" t="s">
        <v>14</v>
      </c>
      <c r="I605" s="26">
        <v>42551</v>
      </c>
    </row>
    <row r="606" spans="1:9" x14ac:dyDescent="0.2">
      <c r="A606">
        <v>593</v>
      </c>
      <c r="B606" t="s">
        <v>1651</v>
      </c>
      <c r="C606" t="s">
        <v>1652</v>
      </c>
      <c r="D606" t="s">
        <v>1628</v>
      </c>
      <c r="E606" t="s">
        <v>1653</v>
      </c>
      <c r="F606">
        <v>1.9152</v>
      </c>
      <c r="G606" t="s">
        <v>1630</v>
      </c>
      <c r="H606" t="s">
        <v>14</v>
      </c>
      <c r="I606" s="26">
        <v>42339</v>
      </c>
    </row>
    <row r="607" spans="1:9" x14ac:dyDescent="0.2">
      <c r="A607">
        <v>594</v>
      </c>
      <c r="B607" t="s">
        <v>1654</v>
      </c>
      <c r="C607" t="s">
        <v>1655</v>
      </c>
      <c r="D607" t="s">
        <v>1628</v>
      </c>
      <c r="E607" t="s">
        <v>1656</v>
      </c>
      <c r="F607">
        <v>3.1478000000000002</v>
      </c>
      <c r="G607" t="s">
        <v>1630</v>
      </c>
      <c r="H607" t="s">
        <v>14</v>
      </c>
      <c r="I607" s="26">
        <v>42551</v>
      </c>
    </row>
    <row r="608" spans="1:9" x14ac:dyDescent="0.2">
      <c r="A608">
        <v>595</v>
      </c>
      <c r="B608" t="s">
        <v>1657</v>
      </c>
      <c r="C608" t="s">
        <v>1658</v>
      </c>
      <c r="D608" t="s">
        <v>1659</v>
      </c>
      <c r="E608" t="s">
        <v>1660</v>
      </c>
      <c r="F608">
        <v>2399.16</v>
      </c>
      <c r="G608" t="s">
        <v>1661</v>
      </c>
      <c r="H608" t="s">
        <v>14</v>
      </c>
      <c r="I608" s="26"/>
    </row>
    <row r="609" spans="1:9" x14ac:dyDescent="0.2">
      <c r="A609">
        <v>596</v>
      </c>
      <c r="B609" t="s">
        <v>1662</v>
      </c>
      <c r="C609" t="s">
        <v>1663</v>
      </c>
      <c r="D609" t="s">
        <v>1664</v>
      </c>
      <c r="E609" t="s">
        <v>1665</v>
      </c>
      <c r="F609">
        <v>3555.52</v>
      </c>
      <c r="G609" t="s">
        <v>1666</v>
      </c>
      <c r="H609" t="s">
        <v>14</v>
      </c>
      <c r="I609" s="26"/>
    </row>
    <row r="610" spans="1:9" x14ac:dyDescent="0.2">
      <c r="A610">
        <v>597</v>
      </c>
      <c r="B610" t="s">
        <v>1667</v>
      </c>
      <c r="C610" t="s">
        <v>1668</v>
      </c>
      <c r="D610" t="s">
        <v>1206</v>
      </c>
      <c r="E610" t="s">
        <v>1669</v>
      </c>
      <c r="F610">
        <v>4.42</v>
      </c>
      <c r="G610" t="s">
        <v>1208</v>
      </c>
      <c r="H610" t="s">
        <v>14</v>
      </c>
      <c r="I610" s="26">
        <v>43217</v>
      </c>
    </row>
    <row r="611" spans="1:9" x14ac:dyDescent="0.2">
      <c r="A611">
        <v>598</v>
      </c>
      <c r="B611" t="s">
        <v>1670</v>
      </c>
      <c r="C611" t="s">
        <v>1671</v>
      </c>
      <c r="D611" t="s">
        <v>1628</v>
      </c>
      <c r="E611" t="s">
        <v>1672</v>
      </c>
      <c r="F611">
        <v>0.26</v>
      </c>
      <c r="G611" t="s">
        <v>1630</v>
      </c>
      <c r="H611" t="s">
        <v>14</v>
      </c>
      <c r="I611" s="26">
        <v>43217</v>
      </c>
    </row>
    <row r="612" spans="1:9" x14ac:dyDescent="0.2">
      <c r="A612">
        <v>599</v>
      </c>
      <c r="B612" t="s">
        <v>1673</v>
      </c>
      <c r="C612" t="s">
        <v>1674</v>
      </c>
      <c r="D612" t="s">
        <v>1628</v>
      </c>
      <c r="E612" t="s">
        <v>1675</v>
      </c>
      <c r="F612">
        <v>1.25</v>
      </c>
      <c r="G612" t="s">
        <v>1630</v>
      </c>
      <c r="H612" t="s">
        <v>14</v>
      </c>
      <c r="I612" s="26">
        <v>42305</v>
      </c>
    </row>
    <row r="613" spans="1:9" x14ac:dyDescent="0.2">
      <c r="A613">
        <v>600</v>
      </c>
      <c r="B613" t="s">
        <v>1676</v>
      </c>
      <c r="C613" t="s">
        <v>1677</v>
      </c>
      <c r="D613" t="s">
        <v>1628</v>
      </c>
      <c r="E613" t="s">
        <v>1678</v>
      </c>
      <c r="F613">
        <v>0.27400000000000002</v>
      </c>
      <c r="G613" t="s">
        <v>1630</v>
      </c>
      <c r="H613" t="s">
        <v>14</v>
      </c>
      <c r="I613" s="26">
        <v>42305</v>
      </c>
    </row>
    <row r="614" spans="1:9" x14ac:dyDescent="0.2">
      <c r="A614">
        <v>601</v>
      </c>
      <c r="B614" t="s">
        <v>1679</v>
      </c>
      <c r="C614" t="s">
        <v>1680</v>
      </c>
      <c r="D614" t="s">
        <v>1633</v>
      </c>
      <c r="E614" t="s">
        <v>1681</v>
      </c>
      <c r="F614">
        <v>2.35</v>
      </c>
      <c r="G614" t="s">
        <v>1635</v>
      </c>
      <c r="H614" t="s">
        <v>14</v>
      </c>
      <c r="I614" s="26">
        <v>42305</v>
      </c>
    </row>
    <row r="615" spans="1:9" x14ac:dyDescent="0.2">
      <c r="A615">
        <v>602</v>
      </c>
      <c r="B615" t="s">
        <v>1682</v>
      </c>
      <c r="C615" t="s">
        <v>1683</v>
      </c>
      <c r="D615" t="s">
        <v>1633</v>
      </c>
      <c r="E615" t="s">
        <v>1684</v>
      </c>
      <c r="F615">
        <v>2.14</v>
      </c>
      <c r="G615" t="s">
        <v>1635</v>
      </c>
      <c r="H615" t="s">
        <v>14</v>
      </c>
      <c r="I615" s="26">
        <v>42305</v>
      </c>
    </row>
    <row r="616" spans="1:9" x14ac:dyDescent="0.2">
      <c r="A616">
        <v>603</v>
      </c>
      <c r="B616" t="s">
        <v>1685</v>
      </c>
      <c r="C616" t="s">
        <v>1686</v>
      </c>
      <c r="D616" t="s">
        <v>1628</v>
      </c>
      <c r="E616" t="s">
        <v>1687</v>
      </c>
      <c r="F616">
        <v>3.6</v>
      </c>
      <c r="G616" t="s">
        <v>1630</v>
      </c>
      <c r="H616" t="s">
        <v>14</v>
      </c>
      <c r="I616" s="26">
        <v>43217</v>
      </c>
    </row>
    <row r="617" spans="1:9" x14ac:dyDescent="0.2">
      <c r="A617">
        <v>604</v>
      </c>
      <c r="B617" t="s">
        <v>1688</v>
      </c>
      <c r="C617" t="s">
        <v>1689</v>
      </c>
      <c r="D617" t="s">
        <v>1628</v>
      </c>
      <c r="E617" t="s">
        <v>1690</v>
      </c>
      <c r="F617">
        <v>0.60499999999999998</v>
      </c>
      <c r="G617" t="s">
        <v>1630</v>
      </c>
      <c r="H617" t="s">
        <v>14</v>
      </c>
      <c r="I617" s="26">
        <v>42419</v>
      </c>
    </row>
    <row r="618" spans="1:9" x14ac:dyDescent="0.2">
      <c r="A618">
        <v>605</v>
      </c>
      <c r="B618" t="s">
        <v>1691</v>
      </c>
      <c r="C618" t="s">
        <v>1692</v>
      </c>
      <c r="D618" t="s">
        <v>1628</v>
      </c>
      <c r="E618" t="s">
        <v>1693</v>
      </c>
      <c r="F618">
        <v>1.1639999999999999</v>
      </c>
      <c r="G618" t="s">
        <v>1630</v>
      </c>
      <c r="H618" t="s">
        <v>14</v>
      </c>
      <c r="I618" s="26">
        <v>42551</v>
      </c>
    </row>
    <row r="619" spans="1:9" x14ac:dyDescent="0.2">
      <c r="A619">
        <v>606</v>
      </c>
      <c r="B619" t="s">
        <v>1694</v>
      </c>
      <c r="C619" t="s">
        <v>1695</v>
      </c>
      <c r="D619" t="s">
        <v>1628</v>
      </c>
      <c r="E619" t="s">
        <v>1696</v>
      </c>
      <c r="F619">
        <v>0.62</v>
      </c>
      <c r="G619" t="s">
        <v>1630</v>
      </c>
      <c r="H619" t="s">
        <v>14</v>
      </c>
      <c r="I619" s="26">
        <v>42551</v>
      </c>
    </row>
    <row r="620" spans="1:9" x14ac:dyDescent="0.2">
      <c r="A620">
        <v>607</v>
      </c>
      <c r="B620" t="s">
        <v>1697</v>
      </c>
      <c r="C620" t="s">
        <v>1698</v>
      </c>
      <c r="D620" t="s">
        <v>1628</v>
      </c>
      <c r="E620" t="s">
        <v>1699</v>
      </c>
      <c r="F620">
        <v>1.0646</v>
      </c>
      <c r="G620" t="s">
        <v>1630</v>
      </c>
      <c r="H620" t="s">
        <v>14</v>
      </c>
      <c r="I620" s="26">
        <v>42419</v>
      </c>
    </row>
    <row r="621" spans="1:9" x14ac:dyDescent="0.2">
      <c r="A621">
        <v>608</v>
      </c>
      <c r="B621" t="s">
        <v>1700</v>
      </c>
      <c r="C621" t="s">
        <v>1701</v>
      </c>
      <c r="D621" t="s">
        <v>1628</v>
      </c>
      <c r="E621" t="s">
        <v>1702</v>
      </c>
      <c r="F621">
        <v>2.3570000000000002</v>
      </c>
      <c r="G621" t="s">
        <v>1630</v>
      </c>
      <c r="H621" t="s">
        <v>14</v>
      </c>
      <c r="I621" s="26">
        <v>42551</v>
      </c>
    </row>
    <row r="622" spans="1:9" x14ac:dyDescent="0.2">
      <c r="A622">
        <v>609</v>
      </c>
      <c r="B622" t="s">
        <v>1703</v>
      </c>
      <c r="C622" t="s">
        <v>1704</v>
      </c>
      <c r="D622" t="s">
        <v>1628</v>
      </c>
      <c r="E622" t="s">
        <v>1705</v>
      </c>
      <c r="F622">
        <v>1.9339999999999999</v>
      </c>
      <c r="G622" t="s">
        <v>1630</v>
      </c>
      <c r="H622" t="s">
        <v>14</v>
      </c>
      <c r="I622" s="26">
        <v>42551</v>
      </c>
    </row>
    <row r="623" spans="1:9" x14ac:dyDescent="0.2">
      <c r="A623">
        <v>610</v>
      </c>
      <c r="B623" t="s">
        <v>1706</v>
      </c>
      <c r="C623" t="s">
        <v>1707</v>
      </c>
      <c r="D623" t="s">
        <v>1708</v>
      </c>
      <c r="E623" t="s">
        <v>1709</v>
      </c>
      <c r="F623">
        <v>12.23</v>
      </c>
      <c r="G623" t="s">
        <v>1710</v>
      </c>
      <c r="H623" t="s">
        <v>14</v>
      </c>
      <c r="I623" s="26">
        <v>43217</v>
      </c>
    </row>
    <row r="624" spans="1:9" x14ac:dyDescent="0.2">
      <c r="A624">
        <v>611</v>
      </c>
      <c r="B624" t="s">
        <v>1711</v>
      </c>
      <c r="C624" t="s">
        <v>1712</v>
      </c>
      <c r="D624" t="s">
        <v>1708</v>
      </c>
      <c r="E624" t="s">
        <v>1713</v>
      </c>
      <c r="F624">
        <v>10.69</v>
      </c>
      <c r="G624" t="s">
        <v>1710</v>
      </c>
      <c r="H624" t="s">
        <v>14</v>
      </c>
      <c r="I624" s="26">
        <v>43217</v>
      </c>
    </row>
    <row r="625" spans="1:9" x14ac:dyDescent="0.2">
      <c r="A625">
        <v>612</v>
      </c>
      <c r="B625" t="s">
        <v>1714</v>
      </c>
      <c r="C625" t="s">
        <v>1715</v>
      </c>
      <c r="D625" t="s">
        <v>1708</v>
      </c>
      <c r="E625" t="s">
        <v>1716</v>
      </c>
      <c r="F625">
        <v>14.75</v>
      </c>
      <c r="G625" t="s">
        <v>1710</v>
      </c>
      <c r="H625" t="s">
        <v>14</v>
      </c>
      <c r="I625" s="26">
        <v>42523</v>
      </c>
    </row>
    <row r="626" spans="1:9" x14ac:dyDescent="0.2">
      <c r="A626">
        <v>613</v>
      </c>
      <c r="B626" t="s">
        <v>1717</v>
      </c>
      <c r="C626" t="s">
        <v>1718</v>
      </c>
      <c r="D626" t="s">
        <v>1719</v>
      </c>
      <c r="E626" t="s">
        <v>1720</v>
      </c>
      <c r="F626">
        <v>15.6</v>
      </c>
      <c r="G626" t="s">
        <v>1721</v>
      </c>
      <c r="H626" t="s">
        <v>14</v>
      </c>
      <c r="I626" s="26">
        <v>42297</v>
      </c>
    </row>
    <row r="627" spans="1:9" x14ac:dyDescent="0.2">
      <c r="A627">
        <v>614</v>
      </c>
      <c r="B627" t="s">
        <v>1722</v>
      </c>
      <c r="C627" t="s">
        <v>1723</v>
      </c>
      <c r="D627" t="s">
        <v>1206</v>
      </c>
      <c r="E627" t="s">
        <v>1724</v>
      </c>
      <c r="F627">
        <v>57.7</v>
      </c>
      <c r="G627" t="s">
        <v>1208</v>
      </c>
      <c r="H627" t="s">
        <v>14</v>
      </c>
      <c r="I627" s="26">
        <v>42996</v>
      </c>
    </row>
    <row r="628" spans="1:9" x14ac:dyDescent="0.2">
      <c r="A628">
        <v>615</v>
      </c>
      <c r="B628" t="s">
        <v>1725</v>
      </c>
      <c r="C628" t="s">
        <v>1726</v>
      </c>
      <c r="D628" t="s">
        <v>1628</v>
      </c>
      <c r="E628" t="s">
        <v>1727</v>
      </c>
      <c r="F628">
        <v>1.8</v>
      </c>
      <c r="G628" t="s">
        <v>1630</v>
      </c>
      <c r="H628" t="s">
        <v>14</v>
      </c>
      <c r="I628" s="26">
        <v>43217</v>
      </c>
    </row>
    <row r="629" spans="1:9" x14ac:dyDescent="0.2">
      <c r="A629">
        <v>616</v>
      </c>
      <c r="B629" t="s">
        <v>1728</v>
      </c>
      <c r="C629" t="s">
        <v>1729</v>
      </c>
      <c r="D629" t="s">
        <v>1633</v>
      </c>
      <c r="E629" t="s">
        <v>1730</v>
      </c>
      <c r="F629">
        <v>2.37</v>
      </c>
      <c r="G629" t="s">
        <v>1635</v>
      </c>
      <c r="H629" t="s">
        <v>14</v>
      </c>
      <c r="I629" s="26">
        <v>42307</v>
      </c>
    </row>
    <row r="630" spans="1:9" x14ac:dyDescent="0.2">
      <c r="A630">
        <v>617</v>
      </c>
      <c r="B630" t="s">
        <v>1731</v>
      </c>
      <c r="C630" t="s">
        <v>1732</v>
      </c>
      <c r="D630" t="s">
        <v>1628</v>
      </c>
      <c r="E630" t="s">
        <v>1733</v>
      </c>
      <c r="F630">
        <v>0.84150000000000003</v>
      </c>
      <c r="G630" t="s">
        <v>1630</v>
      </c>
      <c r="H630" t="s">
        <v>14</v>
      </c>
      <c r="I630" s="26">
        <v>42307</v>
      </c>
    </row>
    <row r="631" spans="1:9" x14ac:dyDescent="0.2">
      <c r="A631">
        <v>618</v>
      </c>
      <c r="B631" t="s">
        <v>1734</v>
      </c>
      <c r="C631" t="s">
        <v>1735</v>
      </c>
      <c r="D631" t="s">
        <v>1633</v>
      </c>
      <c r="E631" t="s">
        <v>1736</v>
      </c>
      <c r="F631">
        <v>2.58</v>
      </c>
      <c r="G631" t="s">
        <v>1635</v>
      </c>
      <c r="H631" t="s">
        <v>14</v>
      </c>
      <c r="I631" s="26">
        <v>43217</v>
      </c>
    </row>
    <row r="632" spans="1:9" x14ac:dyDescent="0.2">
      <c r="A632">
        <v>619</v>
      </c>
      <c r="B632" t="s">
        <v>1737</v>
      </c>
      <c r="C632" t="s">
        <v>1738</v>
      </c>
      <c r="D632" t="s">
        <v>1206</v>
      </c>
      <c r="E632" t="s">
        <v>1739</v>
      </c>
      <c r="F632">
        <v>7.89</v>
      </c>
      <c r="G632" t="s">
        <v>1208</v>
      </c>
      <c r="H632" t="s">
        <v>14</v>
      </c>
      <c r="I632" s="26">
        <v>42307</v>
      </c>
    </row>
    <row r="633" spans="1:9" x14ac:dyDescent="0.2">
      <c r="A633">
        <v>620</v>
      </c>
      <c r="B633" t="s">
        <v>1740</v>
      </c>
      <c r="C633" t="s">
        <v>1741</v>
      </c>
      <c r="D633" t="s">
        <v>4558</v>
      </c>
      <c r="E633" t="s">
        <v>1742</v>
      </c>
      <c r="F633">
        <v>4</v>
      </c>
      <c r="G633" t="s">
        <v>610</v>
      </c>
      <c r="H633" t="s">
        <v>14</v>
      </c>
      <c r="I633" s="26">
        <v>42307</v>
      </c>
    </row>
    <row r="634" spans="1:9" x14ac:dyDescent="0.2">
      <c r="A634">
        <v>621</v>
      </c>
      <c r="B634" t="s">
        <v>1743</v>
      </c>
      <c r="C634" t="s">
        <v>1744</v>
      </c>
      <c r="D634" t="s">
        <v>1628</v>
      </c>
      <c r="E634" t="s">
        <v>1745</v>
      </c>
      <c r="F634">
        <v>1.22</v>
      </c>
      <c r="G634" t="s">
        <v>1630</v>
      </c>
      <c r="H634" t="s">
        <v>14</v>
      </c>
      <c r="I634" s="26">
        <v>42307</v>
      </c>
    </row>
    <row r="635" spans="1:9" x14ac:dyDescent="0.2">
      <c r="A635">
        <v>622</v>
      </c>
      <c r="B635" t="s">
        <v>1746</v>
      </c>
      <c r="C635" t="s">
        <v>1747</v>
      </c>
      <c r="D635" t="s">
        <v>1628</v>
      </c>
      <c r="E635" t="s">
        <v>1748</v>
      </c>
      <c r="F635">
        <v>0.99519999999999997</v>
      </c>
      <c r="G635" t="s">
        <v>1630</v>
      </c>
      <c r="H635" t="s">
        <v>14</v>
      </c>
      <c r="I635" s="26">
        <v>42307</v>
      </c>
    </row>
    <row r="636" spans="1:9" x14ac:dyDescent="0.2">
      <c r="A636">
        <v>623</v>
      </c>
      <c r="B636" t="s">
        <v>1749</v>
      </c>
      <c r="C636" t="s">
        <v>1750</v>
      </c>
      <c r="D636" t="s">
        <v>1628</v>
      </c>
      <c r="E636" t="s">
        <v>1751</v>
      </c>
      <c r="F636">
        <v>1.02</v>
      </c>
      <c r="G636" t="s">
        <v>1630</v>
      </c>
      <c r="H636" t="s">
        <v>14</v>
      </c>
      <c r="I636" s="26">
        <v>42551</v>
      </c>
    </row>
    <row r="637" spans="1:9" x14ac:dyDescent="0.2">
      <c r="A637">
        <v>624</v>
      </c>
      <c r="B637" t="s">
        <v>1752</v>
      </c>
      <c r="C637" t="s">
        <v>1753</v>
      </c>
      <c r="D637" t="s">
        <v>1628</v>
      </c>
      <c r="E637" t="s">
        <v>1754</v>
      </c>
      <c r="F637">
        <v>4.51</v>
      </c>
      <c r="G637" t="s">
        <v>1630</v>
      </c>
      <c r="H637" t="s">
        <v>14</v>
      </c>
      <c r="I637" s="26">
        <v>42307</v>
      </c>
    </row>
    <row r="638" spans="1:9" x14ac:dyDescent="0.2">
      <c r="A638">
        <v>625</v>
      </c>
      <c r="B638" t="s">
        <v>1755</v>
      </c>
      <c r="C638" t="s">
        <v>1756</v>
      </c>
      <c r="D638" t="s">
        <v>1628</v>
      </c>
      <c r="E638" t="s">
        <v>1757</v>
      </c>
      <c r="F638">
        <v>1.411</v>
      </c>
      <c r="G638" t="s">
        <v>1630</v>
      </c>
      <c r="H638" t="s">
        <v>14</v>
      </c>
      <c r="I638" s="26">
        <v>42307</v>
      </c>
    </row>
    <row r="639" spans="1:9" x14ac:dyDescent="0.2">
      <c r="A639">
        <v>626</v>
      </c>
      <c r="B639" t="s">
        <v>1758</v>
      </c>
      <c r="C639" t="s">
        <v>1759</v>
      </c>
      <c r="D639" t="s">
        <v>4561</v>
      </c>
      <c r="E639" t="s">
        <v>1760</v>
      </c>
      <c r="F639">
        <v>8.56</v>
      </c>
      <c r="G639" t="s">
        <v>1761</v>
      </c>
      <c r="H639" t="s">
        <v>14</v>
      </c>
      <c r="I639" s="26">
        <v>42307</v>
      </c>
    </row>
    <row r="640" spans="1:9" x14ac:dyDescent="0.2">
      <c r="A640">
        <v>627</v>
      </c>
      <c r="B640" t="s">
        <v>1762</v>
      </c>
      <c r="C640" t="s">
        <v>1763</v>
      </c>
      <c r="D640" t="s">
        <v>4558</v>
      </c>
      <c r="E640" t="s">
        <v>1764</v>
      </c>
      <c r="F640">
        <v>17.5</v>
      </c>
      <c r="G640" t="s">
        <v>610</v>
      </c>
      <c r="H640" t="s">
        <v>14</v>
      </c>
      <c r="I640" s="26">
        <v>42307</v>
      </c>
    </row>
    <row r="641" spans="1:9" x14ac:dyDescent="0.2">
      <c r="A641">
        <v>628</v>
      </c>
      <c r="B641" t="s">
        <v>1765</v>
      </c>
      <c r="C641" t="s">
        <v>1766</v>
      </c>
      <c r="D641" t="s">
        <v>4558</v>
      </c>
      <c r="E641" t="s">
        <v>1767</v>
      </c>
      <c r="F641">
        <v>11.48</v>
      </c>
      <c r="G641" t="s">
        <v>610</v>
      </c>
      <c r="H641" t="s">
        <v>14</v>
      </c>
      <c r="I641" s="26">
        <v>42307</v>
      </c>
    </row>
    <row r="642" spans="1:9" x14ac:dyDescent="0.2">
      <c r="A642">
        <v>629</v>
      </c>
      <c r="B642" t="s">
        <v>1768</v>
      </c>
      <c r="C642" t="s">
        <v>1769</v>
      </c>
      <c r="D642" t="s">
        <v>1628</v>
      </c>
      <c r="E642" t="s">
        <v>1770</v>
      </c>
      <c r="F642">
        <v>1.6716</v>
      </c>
      <c r="G642" t="s">
        <v>1630</v>
      </c>
      <c r="H642" t="s">
        <v>14</v>
      </c>
      <c r="I642" s="26">
        <v>42307</v>
      </c>
    </row>
    <row r="643" spans="1:9" x14ac:dyDescent="0.2">
      <c r="A643">
        <v>630</v>
      </c>
      <c r="B643" t="s">
        <v>1771</v>
      </c>
      <c r="C643" t="s">
        <v>1772</v>
      </c>
      <c r="D643" t="s">
        <v>1633</v>
      </c>
      <c r="E643" t="s">
        <v>1773</v>
      </c>
      <c r="F643">
        <v>12.24</v>
      </c>
      <c r="G643" t="s">
        <v>1635</v>
      </c>
      <c r="H643" t="s">
        <v>14</v>
      </c>
      <c r="I643" s="26">
        <v>42307</v>
      </c>
    </row>
    <row r="644" spans="1:9" x14ac:dyDescent="0.2">
      <c r="A644">
        <v>631</v>
      </c>
      <c r="B644" t="s">
        <v>1774</v>
      </c>
      <c r="C644" t="s">
        <v>1775</v>
      </c>
      <c r="D644" t="s">
        <v>1633</v>
      </c>
      <c r="E644" t="s">
        <v>1776</v>
      </c>
      <c r="F644">
        <v>12.7643</v>
      </c>
      <c r="G644" t="s">
        <v>1635</v>
      </c>
      <c r="H644" t="s">
        <v>14</v>
      </c>
      <c r="I644" s="26">
        <v>42551</v>
      </c>
    </row>
    <row r="645" spans="1:9" x14ac:dyDescent="0.2">
      <c r="A645">
        <v>632</v>
      </c>
      <c r="B645" t="s">
        <v>1777</v>
      </c>
      <c r="C645" t="s">
        <v>1778</v>
      </c>
      <c r="D645" t="s">
        <v>1779</v>
      </c>
      <c r="E645" t="s">
        <v>1780</v>
      </c>
      <c r="F645">
        <v>12.343</v>
      </c>
      <c r="G645" t="s">
        <v>1781</v>
      </c>
      <c r="H645" t="s">
        <v>14</v>
      </c>
      <c r="I645" s="26">
        <v>42339</v>
      </c>
    </row>
    <row r="646" spans="1:9" x14ac:dyDescent="0.2">
      <c r="A646">
        <v>633</v>
      </c>
      <c r="B646" t="s">
        <v>1782</v>
      </c>
      <c r="C646" t="s">
        <v>1783</v>
      </c>
      <c r="D646" t="s">
        <v>1779</v>
      </c>
      <c r="E646" t="s">
        <v>1784</v>
      </c>
      <c r="F646">
        <v>17.649999999999999</v>
      </c>
      <c r="G646" t="s">
        <v>1781</v>
      </c>
      <c r="H646" t="s">
        <v>14</v>
      </c>
      <c r="I646" s="26">
        <v>42307</v>
      </c>
    </row>
    <row r="647" spans="1:9" x14ac:dyDescent="0.2">
      <c r="A647">
        <v>634</v>
      </c>
      <c r="B647" t="s">
        <v>1785</v>
      </c>
      <c r="C647" t="s">
        <v>1786</v>
      </c>
      <c r="D647" t="s">
        <v>1206</v>
      </c>
      <c r="E647" t="s">
        <v>1787</v>
      </c>
      <c r="F647">
        <v>4.22</v>
      </c>
      <c r="G647" t="s">
        <v>1208</v>
      </c>
      <c r="H647" t="s">
        <v>14</v>
      </c>
      <c r="I647" s="26">
        <v>42307</v>
      </c>
    </row>
    <row r="648" spans="1:9" x14ac:dyDescent="0.2">
      <c r="A648">
        <v>635</v>
      </c>
      <c r="B648" t="s">
        <v>1788</v>
      </c>
      <c r="C648" t="s">
        <v>1789</v>
      </c>
      <c r="D648" t="s">
        <v>1719</v>
      </c>
      <c r="E648" t="s">
        <v>1788</v>
      </c>
      <c r="F648">
        <v>2</v>
      </c>
      <c r="G648" t="s">
        <v>1721</v>
      </c>
      <c r="H648" t="s">
        <v>14</v>
      </c>
      <c r="I648" s="26">
        <v>42551</v>
      </c>
    </row>
    <row r="649" spans="1:9" x14ac:dyDescent="0.2">
      <c r="A649">
        <v>636</v>
      </c>
      <c r="B649" t="s">
        <v>1790</v>
      </c>
      <c r="C649" t="s">
        <v>1791</v>
      </c>
      <c r="D649" t="s">
        <v>1206</v>
      </c>
      <c r="E649" t="s">
        <v>1792</v>
      </c>
      <c r="F649">
        <v>2.67</v>
      </c>
      <c r="G649" t="s">
        <v>1208</v>
      </c>
      <c r="H649" t="s">
        <v>14</v>
      </c>
      <c r="I649" s="26">
        <v>42307</v>
      </c>
    </row>
    <row r="650" spans="1:9" x14ac:dyDescent="0.2">
      <c r="A650">
        <v>637</v>
      </c>
      <c r="B650" t="s">
        <v>1793</v>
      </c>
      <c r="C650" t="s">
        <v>1794</v>
      </c>
      <c r="D650" t="s">
        <v>4561</v>
      </c>
      <c r="E650" t="s">
        <v>1795</v>
      </c>
      <c r="F650">
        <v>16.899999999999999</v>
      </c>
      <c r="G650" t="s">
        <v>1761</v>
      </c>
      <c r="H650" t="s">
        <v>14</v>
      </c>
      <c r="I650" s="26">
        <v>42307</v>
      </c>
    </row>
    <row r="651" spans="1:9" x14ac:dyDescent="0.2">
      <c r="A651">
        <v>638</v>
      </c>
      <c r="B651" t="s">
        <v>1796</v>
      </c>
      <c r="C651" t="s">
        <v>1797</v>
      </c>
      <c r="D651" t="s">
        <v>4561</v>
      </c>
      <c r="E651" t="s">
        <v>1798</v>
      </c>
      <c r="F651">
        <v>16.399999999999999</v>
      </c>
      <c r="G651" t="s">
        <v>1761</v>
      </c>
      <c r="H651" t="s">
        <v>14</v>
      </c>
      <c r="I651" s="26">
        <v>42307</v>
      </c>
    </row>
    <row r="652" spans="1:9" x14ac:dyDescent="0.2">
      <c r="A652">
        <v>639</v>
      </c>
      <c r="B652" t="s">
        <v>1799</v>
      </c>
      <c r="C652" t="s">
        <v>1800</v>
      </c>
      <c r="D652" t="s">
        <v>4561</v>
      </c>
      <c r="E652" t="s">
        <v>1801</v>
      </c>
      <c r="F652">
        <v>44.9</v>
      </c>
      <c r="G652" t="s">
        <v>1761</v>
      </c>
      <c r="H652" t="s">
        <v>14</v>
      </c>
      <c r="I652" s="26">
        <v>42307</v>
      </c>
    </row>
    <row r="653" spans="1:9" x14ac:dyDescent="0.2">
      <c r="A653">
        <v>640</v>
      </c>
      <c r="B653" t="s">
        <v>1802</v>
      </c>
      <c r="C653" t="s">
        <v>1803</v>
      </c>
      <c r="D653" t="s">
        <v>4561</v>
      </c>
      <c r="E653" t="s">
        <v>1804</v>
      </c>
      <c r="F653">
        <v>32.299999999999997</v>
      </c>
      <c r="G653" t="s">
        <v>1761</v>
      </c>
      <c r="H653" t="s">
        <v>14</v>
      </c>
      <c r="I653" s="26">
        <v>42307</v>
      </c>
    </row>
    <row r="654" spans="1:9" x14ac:dyDescent="0.2">
      <c r="A654">
        <v>641</v>
      </c>
      <c r="B654" t="s">
        <v>1805</v>
      </c>
      <c r="C654" t="s">
        <v>1806</v>
      </c>
      <c r="D654" t="s">
        <v>4561</v>
      </c>
      <c r="E654" t="s">
        <v>1807</v>
      </c>
      <c r="F654">
        <v>22.7</v>
      </c>
      <c r="G654" t="s">
        <v>1761</v>
      </c>
      <c r="H654" t="s">
        <v>14</v>
      </c>
      <c r="I654" s="26">
        <v>42307</v>
      </c>
    </row>
    <row r="655" spans="1:9" x14ac:dyDescent="0.2">
      <c r="A655">
        <v>642</v>
      </c>
      <c r="B655" t="s">
        <v>1808</v>
      </c>
      <c r="C655" t="s">
        <v>1809</v>
      </c>
      <c r="D655" t="s">
        <v>4561</v>
      </c>
      <c r="E655" t="s">
        <v>1810</v>
      </c>
      <c r="F655">
        <v>50.4</v>
      </c>
      <c r="G655" t="s">
        <v>1761</v>
      </c>
      <c r="H655" t="s">
        <v>14</v>
      </c>
      <c r="I655" s="26">
        <v>42307</v>
      </c>
    </row>
    <row r="656" spans="1:9" x14ac:dyDescent="0.2">
      <c r="A656">
        <v>643</v>
      </c>
      <c r="B656" t="s">
        <v>1811</v>
      </c>
      <c r="C656" t="s">
        <v>1812</v>
      </c>
      <c r="D656" t="s">
        <v>4561</v>
      </c>
      <c r="E656" t="s">
        <v>1813</v>
      </c>
      <c r="F656">
        <v>33.799999999999997</v>
      </c>
      <c r="G656" t="s">
        <v>1761</v>
      </c>
      <c r="H656" t="s">
        <v>14</v>
      </c>
      <c r="I656" s="26">
        <v>42307</v>
      </c>
    </row>
    <row r="657" spans="1:9" x14ac:dyDescent="0.2">
      <c r="A657">
        <v>644</v>
      </c>
      <c r="B657" t="s">
        <v>1814</v>
      </c>
      <c r="C657" t="s">
        <v>1815</v>
      </c>
      <c r="D657" t="s">
        <v>4561</v>
      </c>
      <c r="E657" t="s">
        <v>1816</v>
      </c>
      <c r="F657">
        <v>36.299999999999997</v>
      </c>
      <c r="G657" t="s">
        <v>1761</v>
      </c>
      <c r="H657" t="s">
        <v>14</v>
      </c>
      <c r="I657" s="26">
        <v>42307</v>
      </c>
    </row>
    <row r="658" spans="1:9" x14ac:dyDescent="0.2">
      <c r="A658">
        <v>645</v>
      </c>
      <c r="B658" t="s">
        <v>1817</v>
      </c>
      <c r="C658" t="s">
        <v>1818</v>
      </c>
      <c r="D658" t="s">
        <v>1633</v>
      </c>
      <c r="E658" t="s">
        <v>1819</v>
      </c>
      <c r="F658">
        <v>7.89</v>
      </c>
      <c r="G658" t="s">
        <v>1635</v>
      </c>
      <c r="H658" t="s">
        <v>14</v>
      </c>
      <c r="I658" s="26">
        <v>42307</v>
      </c>
    </row>
    <row r="659" spans="1:9" x14ac:dyDescent="0.2">
      <c r="A659">
        <v>646</v>
      </c>
      <c r="B659" t="s">
        <v>1820</v>
      </c>
      <c r="C659" t="s">
        <v>1821</v>
      </c>
      <c r="D659" t="s">
        <v>1822</v>
      </c>
      <c r="E659" t="s">
        <v>1823</v>
      </c>
      <c r="F659">
        <v>9.3800000000000008</v>
      </c>
      <c r="G659" t="s">
        <v>1824</v>
      </c>
      <c r="H659" t="s">
        <v>14</v>
      </c>
      <c r="I659" s="26">
        <v>42305</v>
      </c>
    </row>
    <row r="660" spans="1:9" x14ac:dyDescent="0.2">
      <c r="A660">
        <v>647</v>
      </c>
      <c r="B660" t="s">
        <v>1825</v>
      </c>
      <c r="C660" t="s">
        <v>1826</v>
      </c>
      <c r="D660" t="s">
        <v>1827</v>
      </c>
      <c r="E660" t="s">
        <v>1828</v>
      </c>
      <c r="F660">
        <v>1.6</v>
      </c>
      <c r="G660" t="s">
        <v>1829</v>
      </c>
      <c r="H660" t="s">
        <v>14</v>
      </c>
      <c r="I660" s="26">
        <v>42307</v>
      </c>
    </row>
    <row r="661" spans="1:9" x14ac:dyDescent="0.2">
      <c r="A661">
        <v>648</v>
      </c>
      <c r="B661" t="s">
        <v>1830</v>
      </c>
      <c r="C661" t="s">
        <v>1831</v>
      </c>
      <c r="D661" t="s">
        <v>4561</v>
      </c>
      <c r="E661" t="s">
        <v>1832</v>
      </c>
      <c r="F661">
        <v>6.47</v>
      </c>
      <c r="G661" t="s">
        <v>1761</v>
      </c>
      <c r="H661" t="s">
        <v>14</v>
      </c>
      <c r="I661" s="26">
        <v>42307</v>
      </c>
    </row>
    <row r="662" spans="1:9" x14ac:dyDescent="0.2">
      <c r="A662">
        <v>649</v>
      </c>
      <c r="B662" t="s">
        <v>1833</v>
      </c>
      <c r="C662" t="s">
        <v>1834</v>
      </c>
      <c r="D662" t="s">
        <v>4561</v>
      </c>
      <c r="E662" t="s">
        <v>1835</v>
      </c>
      <c r="F662">
        <v>6.89</v>
      </c>
      <c r="G662" t="s">
        <v>1761</v>
      </c>
      <c r="H662" t="s">
        <v>14</v>
      </c>
      <c r="I662" s="26">
        <v>42307</v>
      </c>
    </row>
    <row r="663" spans="1:9" x14ac:dyDescent="0.2">
      <c r="A663">
        <v>650</v>
      </c>
      <c r="B663" t="s">
        <v>1836</v>
      </c>
      <c r="C663" t="s">
        <v>1726</v>
      </c>
      <c r="D663" t="s">
        <v>4561</v>
      </c>
      <c r="E663" t="s">
        <v>1837</v>
      </c>
      <c r="F663">
        <v>2.8</v>
      </c>
      <c r="G663" t="s">
        <v>1761</v>
      </c>
      <c r="H663" t="s">
        <v>14</v>
      </c>
      <c r="I663" s="26">
        <v>42307</v>
      </c>
    </row>
    <row r="664" spans="1:9" x14ac:dyDescent="0.2">
      <c r="A664">
        <v>651</v>
      </c>
      <c r="B664" t="s">
        <v>1838</v>
      </c>
      <c r="C664" t="s">
        <v>1839</v>
      </c>
      <c r="D664" t="s">
        <v>4561</v>
      </c>
      <c r="E664" t="s">
        <v>1840</v>
      </c>
      <c r="F664">
        <v>6.55</v>
      </c>
      <c r="G664" t="s">
        <v>1761</v>
      </c>
      <c r="H664" t="s">
        <v>14</v>
      </c>
      <c r="I664" s="26">
        <v>42307</v>
      </c>
    </row>
    <row r="665" spans="1:9" x14ac:dyDescent="0.2">
      <c r="A665">
        <v>652</v>
      </c>
      <c r="B665" t="s">
        <v>1841</v>
      </c>
      <c r="C665" t="s">
        <v>1842</v>
      </c>
      <c r="D665" t="s">
        <v>4561</v>
      </c>
      <c r="E665" t="s">
        <v>1843</v>
      </c>
      <c r="F665">
        <v>2.9</v>
      </c>
      <c r="G665" t="s">
        <v>1761</v>
      </c>
      <c r="H665" t="s">
        <v>14</v>
      </c>
      <c r="I665" s="26">
        <v>42307</v>
      </c>
    </row>
    <row r="666" spans="1:9" x14ac:dyDescent="0.2">
      <c r="A666">
        <v>653</v>
      </c>
      <c r="B666" t="s">
        <v>1844</v>
      </c>
      <c r="C666" t="s">
        <v>1845</v>
      </c>
      <c r="D666" t="s">
        <v>4561</v>
      </c>
      <c r="E666" t="s">
        <v>1846</v>
      </c>
      <c r="F666">
        <v>6.08</v>
      </c>
      <c r="G666" t="s">
        <v>1761</v>
      </c>
      <c r="H666" t="s">
        <v>14</v>
      </c>
      <c r="I666" s="26">
        <v>42307</v>
      </c>
    </row>
    <row r="667" spans="1:9" x14ac:dyDescent="0.2">
      <c r="A667">
        <v>654</v>
      </c>
      <c r="B667" t="s">
        <v>1847</v>
      </c>
      <c r="C667" t="s">
        <v>1848</v>
      </c>
      <c r="D667" t="s">
        <v>4561</v>
      </c>
      <c r="E667" t="s">
        <v>1849</v>
      </c>
      <c r="F667">
        <v>3.6</v>
      </c>
      <c r="G667" t="s">
        <v>1761</v>
      </c>
      <c r="H667" t="s">
        <v>14</v>
      </c>
      <c r="I667" s="26">
        <v>42307</v>
      </c>
    </row>
    <row r="668" spans="1:9" x14ac:dyDescent="0.2">
      <c r="A668">
        <v>655</v>
      </c>
      <c r="B668" t="s">
        <v>1850</v>
      </c>
      <c r="C668" t="s">
        <v>1851</v>
      </c>
      <c r="D668" t="s">
        <v>1633</v>
      </c>
      <c r="E668" t="s">
        <v>1852</v>
      </c>
      <c r="F668">
        <v>3.8967000000000001</v>
      </c>
      <c r="G668" t="s">
        <v>1635</v>
      </c>
      <c r="H668" t="s">
        <v>14</v>
      </c>
      <c r="I668" s="26">
        <v>42305</v>
      </c>
    </row>
    <row r="669" spans="1:9" x14ac:dyDescent="0.2">
      <c r="A669">
        <v>656</v>
      </c>
      <c r="B669" t="s">
        <v>1853</v>
      </c>
      <c r="C669" t="s">
        <v>1854</v>
      </c>
      <c r="D669" t="s">
        <v>4561</v>
      </c>
      <c r="E669" t="s">
        <v>1855</v>
      </c>
      <c r="F669">
        <v>12.79</v>
      </c>
      <c r="G669" t="s">
        <v>1761</v>
      </c>
      <c r="H669" t="s">
        <v>14</v>
      </c>
      <c r="I669" s="26">
        <v>42307</v>
      </c>
    </row>
    <row r="670" spans="1:9" x14ac:dyDescent="0.2">
      <c r="A670">
        <v>657</v>
      </c>
      <c r="B670" t="s">
        <v>1856</v>
      </c>
      <c r="C670" t="s">
        <v>1857</v>
      </c>
      <c r="D670" t="s">
        <v>131</v>
      </c>
      <c r="E670" t="s">
        <v>1856</v>
      </c>
      <c r="F670">
        <v>474</v>
      </c>
      <c r="G670" t="s">
        <v>133</v>
      </c>
      <c r="H670" t="s">
        <v>14</v>
      </c>
      <c r="I670" s="26">
        <v>42307</v>
      </c>
    </row>
    <row r="671" spans="1:9" x14ac:dyDescent="0.2">
      <c r="A671">
        <v>658</v>
      </c>
      <c r="B671" t="s">
        <v>1858</v>
      </c>
      <c r="C671" t="s">
        <v>1859</v>
      </c>
      <c r="D671" t="s">
        <v>1029</v>
      </c>
      <c r="E671" t="s">
        <v>1860</v>
      </c>
      <c r="F671">
        <v>101.71</v>
      </c>
      <c r="G671" t="s">
        <v>1031</v>
      </c>
      <c r="H671" t="s">
        <v>14</v>
      </c>
      <c r="I671" s="26">
        <v>42307</v>
      </c>
    </row>
    <row r="672" spans="1:9" x14ac:dyDescent="0.2">
      <c r="A672">
        <v>659</v>
      </c>
      <c r="B672" t="s">
        <v>1861</v>
      </c>
      <c r="C672" t="s">
        <v>1862</v>
      </c>
      <c r="D672" t="s">
        <v>1029</v>
      </c>
      <c r="E672" t="s">
        <v>1863</v>
      </c>
      <c r="F672">
        <v>81.36</v>
      </c>
      <c r="G672" t="s">
        <v>1031</v>
      </c>
      <c r="H672" t="s">
        <v>14</v>
      </c>
      <c r="I672" s="26">
        <v>42307</v>
      </c>
    </row>
    <row r="673" spans="1:9" x14ac:dyDescent="0.2">
      <c r="A673">
        <v>660</v>
      </c>
      <c r="B673" t="s">
        <v>1864</v>
      </c>
      <c r="C673" t="s">
        <v>1865</v>
      </c>
      <c r="D673" t="s">
        <v>123</v>
      </c>
      <c r="E673" t="s">
        <v>1866</v>
      </c>
      <c r="F673">
        <v>272</v>
      </c>
      <c r="G673" t="s">
        <v>125</v>
      </c>
      <c r="H673" t="s">
        <v>14</v>
      </c>
      <c r="I673" s="26">
        <v>42307</v>
      </c>
    </row>
    <row r="674" spans="1:9" x14ac:dyDescent="0.2">
      <c r="A674">
        <v>661</v>
      </c>
      <c r="B674" t="s">
        <v>1867</v>
      </c>
      <c r="C674" t="s">
        <v>1868</v>
      </c>
      <c r="D674" t="s">
        <v>123</v>
      </c>
      <c r="E674" t="s">
        <v>1869</v>
      </c>
      <c r="F674">
        <v>233.65</v>
      </c>
      <c r="G674" t="s">
        <v>125</v>
      </c>
      <c r="H674" t="s">
        <v>14</v>
      </c>
      <c r="I674" s="26">
        <v>42307</v>
      </c>
    </row>
    <row r="675" spans="1:9" x14ac:dyDescent="0.2">
      <c r="A675">
        <v>662</v>
      </c>
      <c r="B675" t="s">
        <v>1870</v>
      </c>
      <c r="C675" t="s">
        <v>1871</v>
      </c>
      <c r="D675" t="s">
        <v>131</v>
      </c>
      <c r="E675" t="s">
        <v>1872</v>
      </c>
      <c r="F675">
        <v>100</v>
      </c>
      <c r="G675" t="s">
        <v>133</v>
      </c>
      <c r="H675" t="s">
        <v>14</v>
      </c>
      <c r="I675" s="26">
        <v>42307</v>
      </c>
    </row>
    <row r="676" spans="1:9" x14ac:dyDescent="0.2">
      <c r="A676">
        <v>663</v>
      </c>
      <c r="B676" t="s">
        <v>1873</v>
      </c>
      <c r="C676" t="s">
        <v>1874</v>
      </c>
      <c r="D676" t="s">
        <v>131</v>
      </c>
      <c r="E676" t="s">
        <v>1875</v>
      </c>
      <c r="F676">
        <v>483</v>
      </c>
      <c r="G676" t="s">
        <v>133</v>
      </c>
      <c r="H676" t="s">
        <v>14</v>
      </c>
      <c r="I676" s="26">
        <v>42307</v>
      </c>
    </row>
    <row r="677" spans="1:9" x14ac:dyDescent="0.2">
      <c r="A677">
        <v>664</v>
      </c>
      <c r="B677" t="s">
        <v>1876</v>
      </c>
      <c r="C677" t="s">
        <v>1877</v>
      </c>
      <c r="D677" t="s">
        <v>1029</v>
      </c>
      <c r="E677" t="s">
        <v>1116</v>
      </c>
      <c r="F677">
        <v>69.09</v>
      </c>
      <c r="G677" t="s">
        <v>1031</v>
      </c>
      <c r="H677" t="s">
        <v>14</v>
      </c>
      <c r="I677" s="26">
        <v>42307</v>
      </c>
    </row>
    <row r="678" spans="1:9" x14ac:dyDescent="0.2">
      <c r="A678">
        <v>665</v>
      </c>
      <c r="B678" t="s">
        <v>1878</v>
      </c>
      <c r="C678" t="s">
        <v>1879</v>
      </c>
      <c r="D678" t="s">
        <v>123</v>
      </c>
      <c r="E678" t="s">
        <v>1880</v>
      </c>
      <c r="F678">
        <v>394.47</v>
      </c>
      <c r="G678" t="s">
        <v>125</v>
      </c>
      <c r="H678" t="s">
        <v>14</v>
      </c>
      <c r="I678" s="26">
        <v>42307</v>
      </c>
    </row>
    <row r="679" spans="1:9" x14ac:dyDescent="0.2">
      <c r="A679">
        <v>666</v>
      </c>
      <c r="B679" t="s">
        <v>1881</v>
      </c>
      <c r="C679" t="s">
        <v>1882</v>
      </c>
      <c r="D679" t="s">
        <v>123</v>
      </c>
      <c r="E679" t="s">
        <v>1473</v>
      </c>
      <c r="F679">
        <v>0</v>
      </c>
      <c r="G679" t="s">
        <v>125</v>
      </c>
      <c r="H679" t="s">
        <v>14</v>
      </c>
      <c r="I679" s="26">
        <v>42307</v>
      </c>
    </row>
    <row r="680" spans="1:9" x14ac:dyDescent="0.2">
      <c r="A680">
        <v>667</v>
      </c>
      <c r="B680" t="s">
        <v>1883</v>
      </c>
      <c r="C680" t="s">
        <v>1884</v>
      </c>
      <c r="D680" t="s">
        <v>123</v>
      </c>
      <c r="E680" t="s">
        <v>1473</v>
      </c>
      <c r="F680">
        <v>0</v>
      </c>
      <c r="G680" t="s">
        <v>125</v>
      </c>
      <c r="H680" t="s">
        <v>14</v>
      </c>
      <c r="I680" s="26">
        <v>42307</v>
      </c>
    </row>
    <row r="681" spans="1:9" x14ac:dyDescent="0.2">
      <c r="A681">
        <v>668</v>
      </c>
      <c r="B681" t="s">
        <v>1885</v>
      </c>
      <c r="C681" t="s">
        <v>1886</v>
      </c>
      <c r="D681" t="s">
        <v>123</v>
      </c>
      <c r="E681" t="s">
        <v>1887</v>
      </c>
      <c r="F681">
        <v>0</v>
      </c>
      <c r="G681" t="s">
        <v>125</v>
      </c>
      <c r="H681" t="s">
        <v>14</v>
      </c>
      <c r="I681" s="26">
        <v>42307</v>
      </c>
    </row>
    <row r="682" spans="1:9" x14ac:dyDescent="0.2">
      <c r="A682">
        <v>669</v>
      </c>
      <c r="B682" t="s">
        <v>1888</v>
      </c>
      <c r="C682" t="s">
        <v>1889</v>
      </c>
      <c r="D682" t="s">
        <v>1628</v>
      </c>
      <c r="E682" t="s">
        <v>1890</v>
      </c>
      <c r="F682">
        <v>0.3</v>
      </c>
      <c r="G682" t="s">
        <v>1630</v>
      </c>
      <c r="H682" t="s">
        <v>14</v>
      </c>
      <c r="I682" s="26">
        <v>43217</v>
      </c>
    </row>
    <row r="683" spans="1:9" x14ac:dyDescent="0.2">
      <c r="A683">
        <v>670</v>
      </c>
      <c r="B683" t="s">
        <v>1891</v>
      </c>
      <c r="C683" t="s">
        <v>1892</v>
      </c>
      <c r="D683" t="s">
        <v>1628</v>
      </c>
      <c r="E683" t="s">
        <v>1893</v>
      </c>
      <c r="F683">
        <v>0.44</v>
      </c>
      <c r="G683" t="s">
        <v>1630</v>
      </c>
      <c r="H683" t="s">
        <v>14</v>
      </c>
      <c r="I683" s="26">
        <v>43217</v>
      </c>
    </row>
    <row r="684" spans="1:9" x14ac:dyDescent="0.2">
      <c r="A684">
        <v>671</v>
      </c>
      <c r="B684" t="s">
        <v>1894</v>
      </c>
      <c r="C684" t="s">
        <v>1895</v>
      </c>
      <c r="D684" t="s">
        <v>1628</v>
      </c>
      <c r="E684" t="s">
        <v>1896</v>
      </c>
      <c r="F684">
        <v>0.32079999999999997</v>
      </c>
      <c r="G684" t="s">
        <v>1630</v>
      </c>
      <c r="H684" t="s">
        <v>14</v>
      </c>
      <c r="I684" s="26">
        <v>42551</v>
      </c>
    </row>
    <row r="685" spans="1:9" x14ac:dyDescent="0.2">
      <c r="A685">
        <v>672</v>
      </c>
      <c r="B685" t="s">
        <v>1897</v>
      </c>
      <c r="C685" t="s">
        <v>1898</v>
      </c>
      <c r="D685" t="s">
        <v>1628</v>
      </c>
      <c r="E685" t="s">
        <v>1899</v>
      </c>
      <c r="F685">
        <v>0.49</v>
      </c>
      <c r="G685" t="s">
        <v>1630</v>
      </c>
      <c r="H685" t="s">
        <v>14</v>
      </c>
      <c r="I685" s="26">
        <v>43217</v>
      </c>
    </row>
    <row r="686" spans="1:9" x14ac:dyDescent="0.2">
      <c r="A686">
        <v>673</v>
      </c>
      <c r="B686" t="s">
        <v>1900</v>
      </c>
      <c r="C686" t="s">
        <v>1901</v>
      </c>
      <c r="D686" t="s">
        <v>1628</v>
      </c>
      <c r="E686" t="s">
        <v>1902</v>
      </c>
      <c r="F686">
        <v>1.421</v>
      </c>
      <c r="G686" t="s">
        <v>1630</v>
      </c>
      <c r="H686" t="s">
        <v>14</v>
      </c>
      <c r="I686" s="26">
        <v>42551</v>
      </c>
    </row>
    <row r="687" spans="1:9" x14ac:dyDescent="0.2">
      <c r="A687">
        <v>674</v>
      </c>
      <c r="B687" t="s">
        <v>1903</v>
      </c>
      <c r="C687" t="s">
        <v>1904</v>
      </c>
      <c r="D687" t="s">
        <v>1779</v>
      </c>
      <c r="E687" t="s">
        <v>1905</v>
      </c>
      <c r="F687">
        <v>3.8576000000000001</v>
      </c>
      <c r="G687" t="s">
        <v>1781</v>
      </c>
      <c r="H687" t="s">
        <v>14</v>
      </c>
      <c r="I687" s="26">
        <v>43217</v>
      </c>
    </row>
    <row r="688" spans="1:9" x14ac:dyDescent="0.2">
      <c r="A688">
        <v>675</v>
      </c>
      <c r="B688" t="s">
        <v>1906</v>
      </c>
      <c r="C688" t="s">
        <v>1907</v>
      </c>
      <c r="D688" t="s">
        <v>4558</v>
      </c>
      <c r="E688" t="s">
        <v>1908</v>
      </c>
      <c r="F688">
        <v>0.94</v>
      </c>
      <c r="G688" t="s">
        <v>610</v>
      </c>
      <c r="H688" t="s">
        <v>14</v>
      </c>
      <c r="I688" s="26">
        <v>42419</v>
      </c>
    </row>
    <row r="689" spans="1:9" x14ac:dyDescent="0.2">
      <c r="A689">
        <v>676</v>
      </c>
      <c r="B689" t="s">
        <v>1909</v>
      </c>
      <c r="C689" t="s">
        <v>1910</v>
      </c>
      <c r="D689" t="s">
        <v>1719</v>
      </c>
      <c r="E689" t="s">
        <v>1911</v>
      </c>
      <c r="F689">
        <v>1</v>
      </c>
      <c r="G689" t="s">
        <v>1721</v>
      </c>
      <c r="H689" t="s">
        <v>14</v>
      </c>
      <c r="I689" s="26">
        <v>42421</v>
      </c>
    </row>
    <row r="690" spans="1:9" x14ac:dyDescent="0.2">
      <c r="A690">
        <v>677</v>
      </c>
      <c r="B690" t="s">
        <v>1912</v>
      </c>
      <c r="C690" t="s">
        <v>1913</v>
      </c>
      <c r="D690" t="s">
        <v>1628</v>
      </c>
      <c r="E690" t="s">
        <v>1914</v>
      </c>
      <c r="F690">
        <v>1.726</v>
      </c>
      <c r="G690" t="s">
        <v>1630</v>
      </c>
      <c r="H690" t="s">
        <v>14</v>
      </c>
      <c r="I690" s="26">
        <v>42551</v>
      </c>
    </row>
    <row r="691" spans="1:9" x14ac:dyDescent="0.2">
      <c r="A691">
        <v>678</v>
      </c>
      <c r="B691" t="s">
        <v>1915</v>
      </c>
      <c r="C691" t="s">
        <v>1916</v>
      </c>
      <c r="D691" t="s">
        <v>573</v>
      </c>
      <c r="E691" t="s">
        <v>1917</v>
      </c>
      <c r="F691">
        <v>706.45</v>
      </c>
      <c r="G691" t="s">
        <v>574</v>
      </c>
      <c r="H691" t="s">
        <v>14</v>
      </c>
      <c r="I691" s="26"/>
    </row>
    <row r="692" spans="1:9" x14ac:dyDescent="0.2">
      <c r="A692">
        <v>679</v>
      </c>
      <c r="B692" t="s">
        <v>1918</v>
      </c>
      <c r="C692" t="s">
        <v>1919</v>
      </c>
      <c r="D692" t="s">
        <v>573</v>
      </c>
      <c r="E692" t="s">
        <v>1920</v>
      </c>
      <c r="F692">
        <v>1107</v>
      </c>
      <c r="G692" t="s">
        <v>574</v>
      </c>
      <c r="H692" t="s">
        <v>14</v>
      </c>
      <c r="I692" s="26">
        <v>42290</v>
      </c>
    </row>
    <row r="693" spans="1:9" x14ac:dyDescent="0.2">
      <c r="A693">
        <v>680</v>
      </c>
      <c r="B693" t="s">
        <v>1921</v>
      </c>
      <c r="C693" t="s">
        <v>1922</v>
      </c>
      <c r="D693" t="s">
        <v>816</v>
      </c>
      <c r="E693" t="s">
        <v>1923</v>
      </c>
      <c r="F693">
        <v>1081</v>
      </c>
      <c r="G693" t="s">
        <v>818</v>
      </c>
      <c r="H693" t="s">
        <v>14</v>
      </c>
      <c r="I693" s="26"/>
    </row>
    <row r="694" spans="1:9" x14ac:dyDescent="0.2">
      <c r="A694">
        <v>681</v>
      </c>
      <c r="B694" t="s">
        <v>1924</v>
      </c>
      <c r="C694" t="s">
        <v>1925</v>
      </c>
      <c r="D694" t="s">
        <v>1628</v>
      </c>
      <c r="E694" t="s">
        <v>1926</v>
      </c>
      <c r="F694">
        <v>1.4259999999999999</v>
      </c>
      <c r="G694" t="s">
        <v>1630</v>
      </c>
      <c r="H694" t="s">
        <v>14</v>
      </c>
      <c r="I694" s="26">
        <v>42339</v>
      </c>
    </row>
    <row r="695" spans="1:9" x14ac:dyDescent="0.2">
      <c r="A695">
        <v>682</v>
      </c>
      <c r="B695" t="s">
        <v>1927</v>
      </c>
      <c r="C695" t="s">
        <v>1928</v>
      </c>
      <c r="D695" t="s">
        <v>1628</v>
      </c>
      <c r="E695" t="s">
        <v>1929</v>
      </c>
      <c r="F695">
        <v>3.2944</v>
      </c>
      <c r="G695" t="s">
        <v>1630</v>
      </c>
      <c r="H695" t="s">
        <v>14</v>
      </c>
      <c r="I695" s="26">
        <v>42419</v>
      </c>
    </row>
    <row r="696" spans="1:9" x14ac:dyDescent="0.2">
      <c r="A696">
        <v>683</v>
      </c>
      <c r="B696" t="s">
        <v>1930</v>
      </c>
      <c r="C696" t="s">
        <v>1931</v>
      </c>
      <c r="D696" t="s">
        <v>1628</v>
      </c>
      <c r="E696" t="s">
        <v>1932</v>
      </c>
      <c r="F696">
        <v>5.62</v>
      </c>
      <c r="G696" t="s">
        <v>1630</v>
      </c>
      <c r="H696" t="s">
        <v>14</v>
      </c>
      <c r="I696" s="26">
        <v>42422</v>
      </c>
    </row>
    <row r="697" spans="1:9" x14ac:dyDescent="0.2">
      <c r="A697">
        <v>684</v>
      </c>
      <c r="B697" t="s">
        <v>1933</v>
      </c>
      <c r="C697" t="s">
        <v>1934</v>
      </c>
      <c r="D697" t="s">
        <v>1935</v>
      </c>
      <c r="E697" t="s">
        <v>1936</v>
      </c>
      <c r="F697">
        <v>4536</v>
      </c>
      <c r="G697" t="s">
        <v>1937</v>
      </c>
      <c r="H697" t="s">
        <v>14</v>
      </c>
      <c r="I697" s="26"/>
    </row>
    <row r="698" spans="1:9" x14ac:dyDescent="0.2">
      <c r="A698">
        <v>685</v>
      </c>
      <c r="B698" t="s">
        <v>1938</v>
      </c>
      <c r="C698" t="s">
        <v>1939</v>
      </c>
      <c r="D698" t="s">
        <v>1940</v>
      </c>
      <c r="E698" t="s">
        <v>1941</v>
      </c>
      <c r="F698">
        <v>100.98</v>
      </c>
      <c r="G698" t="s">
        <v>1942</v>
      </c>
      <c r="H698" t="s">
        <v>14</v>
      </c>
      <c r="I698" s="26"/>
    </row>
    <row r="699" spans="1:9" x14ac:dyDescent="0.2">
      <c r="A699">
        <v>686</v>
      </c>
      <c r="B699" t="s">
        <v>1943</v>
      </c>
      <c r="C699" t="s">
        <v>1944</v>
      </c>
      <c r="D699" t="s">
        <v>1628</v>
      </c>
      <c r="E699" t="s">
        <v>1945</v>
      </c>
      <c r="F699">
        <v>3.64</v>
      </c>
      <c r="G699" t="s">
        <v>1630</v>
      </c>
      <c r="H699" t="s">
        <v>14</v>
      </c>
      <c r="I699" s="26">
        <v>43025</v>
      </c>
    </row>
    <row r="700" spans="1:9" x14ac:dyDescent="0.2">
      <c r="A700">
        <v>687</v>
      </c>
      <c r="B700" t="s">
        <v>1946</v>
      </c>
      <c r="C700" t="s">
        <v>1947</v>
      </c>
      <c r="D700" t="s">
        <v>1628</v>
      </c>
      <c r="E700" t="s">
        <v>1948</v>
      </c>
      <c r="F700">
        <v>0.32</v>
      </c>
      <c r="G700" t="s">
        <v>1630</v>
      </c>
      <c r="H700" t="s">
        <v>14</v>
      </c>
      <c r="I700" s="26">
        <v>43217</v>
      </c>
    </row>
    <row r="701" spans="1:9" x14ac:dyDescent="0.2">
      <c r="A701">
        <v>688</v>
      </c>
      <c r="B701" t="s">
        <v>1949</v>
      </c>
      <c r="C701" t="s">
        <v>1950</v>
      </c>
      <c r="D701" t="s">
        <v>1628</v>
      </c>
      <c r="E701" t="s">
        <v>1951</v>
      </c>
      <c r="F701">
        <v>0.48</v>
      </c>
      <c r="G701" t="s">
        <v>1630</v>
      </c>
      <c r="H701" t="s">
        <v>14</v>
      </c>
      <c r="I701" s="26">
        <v>43025</v>
      </c>
    </row>
    <row r="702" spans="1:9" x14ac:dyDescent="0.2">
      <c r="A702">
        <v>689</v>
      </c>
      <c r="B702" t="s">
        <v>1952</v>
      </c>
      <c r="C702" t="s">
        <v>1953</v>
      </c>
      <c r="D702" t="s">
        <v>1633</v>
      </c>
      <c r="E702" t="s">
        <v>1954</v>
      </c>
      <c r="F702">
        <v>4.75</v>
      </c>
      <c r="G702" t="s">
        <v>1635</v>
      </c>
      <c r="H702" t="s">
        <v>14</v>
      </c>
      <c r="I702" s="26">
        <v>42305</v>
      </c>
    </row>
    <row r="703" spans="1:9" x14ac:dyDescent="0.2">
      <c r="A703">
        <v>690</v>
      </c>
      <c r="B703" t="s">
        <v>1955</v>
      </c>
      <c r="C703" t="s">
        <v>1956</v>
      </c>
      <c r="D703" t="s">
        <v>1633</v>
      </c>
      <c r="E703" t="s">
        <v>1957</v>
      </c>
      <c r="F703">
        <v>2.82</v>
      </c>
      <c r="G703" t="s">
        <v>1635</v>
      </c>
      <c r="H703" t="s">
        <v>14</v>
      </c>
      <c r="I703" s="26">
        <v>42305</v>
      </c>
    </row>
    <row r="704" spans="1:9" x14ac:dyDescent="0.2">
      <c r="A704">
        <v>691</v>
      </c>
      <c r="B704" t="s">
        <v>1958</v>
      </c>
      <c r="C704" t="s">
        <v>1959</v>
      </c>
      <c r="D704" t="s">
        <v>1633</v>
      </c>
      <c r="E704" t="s">
        <v>1960</v>
      </c>
      <c r="F704">
        <v>3.4</v>
      </c>
      <c r="G704" t="s">
        <v>1635</v>
      </c>
      <c r="H704" t="s">
        <v>14</v>
      </c>
      <c r="I704" s="26">
        <v>43217</v>
      </c>
    </row>
    <row r="705" spans="1:9" x14ac:dyDescent="0.2">
      <c r="A705">
        <v>692</v>
      </c>
      <c r="B705" t="s">
        <v>1961</v>
      </c>
      <c r="C705" t="s">
        <v>1962</v>
      </c>
      <c r="D705" t="s">
        <v>1628</v>
      </c>
      <c r="E705" t="s">
        <v>1963</v>
      </c>
      <c r="F705">
        <v>6.0350000000000001</v>
      </c>
      <c r="G705" t="s">
        <v>1630</v>
      </c>
      <c r="H705" t="s">
        <v>14</v>
      </c>
      <c r="I705" s="26">
        <v>43025</v>
      </c>
    </row>
    <row r="706" spans="1:9" x14ac:dyDescent="0.2">
      <c r="A706">
        <v>693</v>
      </c>
      <c r="B706" t="s">
        <v>1964</v>
      </c>
      <c r="C706" t="s">
        <v>1965</v>
      </c>
      <c r="D706" t="s">
        <v>4562</v>
      </c>
      <c r="E706" t="s">
        <v>1966</v>
      </c>
      <c r="F706">
        <v>3.57</v>
      </c>
      <c r="G706" t="s">
        <v>1967</v>
      </c>
      <c r="H706" t="s">
        <v>14</v>
      </c>
      <c r="I706" s="26"/>
    </row>
    <row r="707" spans="1:9" x14ac:dyDescent="0.2">
      <c r="A707">
        <v>694</v>
      </c>
      <c r="B707" t="s">
        <v>1968</v>
      </c>
      <c r="C707" t="s">
        <v>1969</v>
      </c>
      <c r="D707" t="s">
        <v>4562</v>
      </c>
      <c r="E707" t="s">
        <v>1970</v>
      </c>
      <c r="F707">
        <v>6.63</v>
      </c>
      <c r="G707" t="s">
        <v>1967</v>
      </c>
      <c r="H707" t="s">
        <v>14</v>
      </c>
      <c r="I707" s="26"/>
    </row>
    <row r="708" spans="1:9" x14ac:dyDescent="0.2">
      <c r="A708">
        <v>695</v>
      </c>
      <c r="B708" t="s">
        <v>1971</v>
      </c>
      <c r="C708" t="s">
        <v>1972</v>
      </c>
      <c r="D708" t="s">
        <v>4562</v>
      </c>
      <c r="E708" t="s">
        <v>1973</v>
      </c>
      <c r="F708">
        <v>6.75</v>
      </c>
      <c r="G708" t="s">
        <v>1967</v>
      </c>
      <c r="H708" t="s">
        <v>14</v>
      </c>
      <c r="I708" s="26"/>
    </row>
    <row r="709" spans="1:9" x14ac:dyDescent="0.2">
      <c r="A709">
        <v>696</v>
      </c>
      <c r="B709" t="s">
        <v>1974</v>
      </c>
      <c r="C709" t="s">
        <v>1975</v>
      </c>
      <c r="D709" t="s">
        <v>4562</v>
      </c>
      <c r="E709" t="s">
        <v>1976</v>
      </c>
      <c r="F709">
        <v>10.95</v>
      </c>
      <c r="G709" t="s">
        <v>1967</v>
      </c>
      <c r="H709" t="s">
        <v>14</v>
      </c>
      <c r="I709" s="26"/>
    </row>
    <row r="710" spans="1:9" x14ac:dyDescent="0.2">
      <c r="A710">
        <v>697</v>
      </c>
      <c r="B710" t="s">
        <v>1977</v>
      </c>
      <c r="C710" t="s">
        <v>1978</v>
      </c>
      <c r="D710" t="s">
        <v>4562</v>
      </c>
      <c r="E710" t="s">
        <v>1979</v>
      </c>
      <c r="F710">
        <v>0.107</v>
      </c>
      <c r="G710" t="s">
        <v>1967</v>
      </c>
      <c r="H710" t="s">
        <v>14</v>
      </c>
      <c r="I710" s="26"/>
    </row>
    <row r="711" spans="1:9" x14ac:dyDescent="0.2">
      <c r="A711">
        <v>698</v>
      </c>
      <c r="B711" t="s">
        <v>1980</v>
      </c>
      <c r="C711" t="s">
        <v>1981</v>
      </c>
      <c r="D711" t="s">
        <v>4562</v>
      </c>
      <c r="E711" t="s">
        <v>1982</v>
      </c>
      <c r="F711">
        <v>0.23219999999999999</v>
      </c>
      <c r="G711" t="s">
        <v>1967</v>
      </c>
      <c r="H711" t="s">
        <v>14</v>
      </c>
      <c r="I711" s="26"/>
    </row>
    <row r="712" spans="1:9" x14ac:dyDescent="0.2">
      <c r="A712">
        <v>699</v>
      </c>
      <c r="B712" t="s">
        <v>1983</v>
      </c>
      <c r="C712" t="s">
        <v>1984</v>
      </c>
      <c r="D712" t="s">
        <v>1628</v>
      </c>
      <c r="E712" t="s">
        <v>1985</v>
      </c>
      <c r="F712">
        <v>0.56200000000000006</v>
      </c>
      <c r="G712" t="s">
        <v>1630</v>
      </c>
      <c r="H712" t="s">
        <v>14</v>
      </c>
      <c r="I712" s="26">
        <v>42305</v>
      </c>
    </row>
    <row r="713" spans="1:9" x14ac:dyDescent="0.2">
      <c r="A713">
        <v>700</v>
      </c>
      <c r="B713" t="s">
        <v>1986</v>
      </c>
      <c r="C713" t="s">
        <v>1987</v>
      </c>
      <c r="D713" t="s">
        <v>1628</v>
      </c>
      <c r="E713" t="s">
        <v>1988</v>
      </c>
      <c r="F713">
        <v>0.43</v>
      </c>
      <c r="G713" t="s">
        <v>1630</v>
      </c>
      <c r="H713" t="s">
        <v>14</v>
      </c>
      <c r="I713" s="26">
        <v>43217</v>
      </c>
    </row>
    <row r="714" spans="1:9" x14ac:dyDescent="0.2">
      <c r="A714">
        <v>701</v>
      </c>
      <c r="B714" t="s">
        <v>1989</v>
      </c>
      <c r="C714" t="s">
        <v>1990</v>
      </c>
      <c r="D714" t="s">
        <v>1628</v>
      </c>
      <c r="E714" t="s">
        <v>1991</v>
      </c>
      <c r="F714">
        <v>0.87</v>
      </c>
      <c r="G714" t="s">
        <v>1630</v>
      </c>
      <c r="H714" t="s">
        <v>14</v>
      </c>
      <c r="I714" s="26">
        <v>43217</v>
      </c>
    </row>
    <row r="715" spans="1:9" x14ac:dyDescent="0.2">
      <c r="A715">
        <v>702</v>
      </c>
      <c r="B715" t="s">
        <v>1992</v>
      </c>
      <c r="C715" t="s">
        <v>1993</v>
      </c>
      <c r="D715" t="s">
        <v>1628</v>
      </c>
      <c r="E715" t="s">
        <v>1994</v>
      </c>
      <c r="F715">
        <v>0.76</v>
      </c>
      <c r="G715" t="s">
        <v>1630</v>
      </c>
      <c r="H715" t="s">
        <v>14</v>
      </c>
      <c r="I715" s="26">
        <v>43217</v>
      </c>
    </row>
    <row r="716" spans="1:9" x14ac:dyDescent="0.2">
      <c r="A716">
        <v>703</v>
      </c>
      <c r="B716" t="s">
        <v>1995</v>
      </c>
      <c r="C716" t="s">
        <v>1996</v>
      </c>
      <c r="D716" t="s">
        <v>1628</v>
      </c>
      <c r="E716" t="s">
        <v>1997</v>
      </c>
      <c r="F716">
        <v>1.087</v>
      </c>
      <c r="G716" t="s">
        <v>1630</v>
      </c>
      <c r="H716" t="s">
        <v>14</v>
      </c>
      <c r="I716" s="26">
        <v>42339</v>
      </c>
    </row>
    <row r="717" spans="1:9" x14ac:dyDescent="0.2">
      <c r="A717">
        <v>704</v>
      </c>
      <c r="B717" t="s">
        <v>1998</v>
      </c>
      <c r="C717" t="s">
        <v>1999</v>
      </c>
      <c r="D717" t="s">
        <v>1628</v>
      </c>
      <c r="E717" t="s">
        <v>2000</v>
      </c>
      <c r="F717">
        <v>0.91</v>
      </c>
      <c r="G717" t="s">
        <v>1630</v>
      </c>
      <c r="H717" t="s">
        <v>14</v>
      </c>
      <c r="I717" s="26">
        <v>43217</v>
      </c>
    </row>
    <row r="718" spans="1:9" x14ac:dyDescent="0.2">
      <c r="A718">
        <v>705</v>
      </c>
      <c r="B718" t="s">
        <v>2001</v>
      </c>
      <c r="C718" t="s">
        <v>2002</v>
      </c>
      <c r="D718" t="s">
        <v>1719</v>
      </c>
      <c r="E718" t="s">
        <v>1720</v>
      </c>
      <c r="F718">
        <v>14.18</v>
      </c>
      <c r="G718" t="s">
        <v>1721</v>
      </c>
      <c r="H718" t="s">
        <v>14</v>
      </c>
      <c r="I718" s="26"/>
    </row>
    <row r="719" spans="1:9" x14ac:dyDescent="0.2">
      <c r="A719">
        <v>706</v>
      </c>
      <c r="B719" t="s">
        <v>2003</v>
      </c>
      <c r="C719" t="s">
        <v>2004</v>
      </c>
      <c r="D719" t="s">
        <v>1719</v>
      </c>
      <c r="E719" t="s">
        <v>2005</v>
      </c>
      <c r="F719">
        <v>6.74</v>
      </c>
      <c r="G719" t="s">
        <v>1721</v>
      </c>
      <c r="H719" t="s">
        <v>14</v>
      </c>
      <c r="I719" s="26">
        <v>42297</v>
      </c>
    </row>
    <row r="720" spans="1:9" x14ac:dyDescent="0.2">
      <c r="A720">
        <v>707</v>
      </c>
      <c r="B720" t="s">
        <v>2006</v>
      </c>
      <c r="C720" t="s">
        <v>2007</v>
      </c>
      <c r="D720" t="s">
        <v>1628</v>
      </c>
      <c r="E720" t="s">
        <v>2008</v>
      </c>
      <c r="F720">
        <v>3.66</v>
      </c>
      <c r="G720" t="s">
        <v>1630</v>
      </c>
      <c r="H720" t="s">
        <v>14</v>
      </c>
      <c r="I720" s="26"/>
    </row>
    <row r="721" spans="1:9" x14ac:dyDescent="0.2">
      <c r="A721">
        <v>708</v>
      </c>
      <c r="B721" t="s">
        <v>2009</v>
      </c>
      <c r="C721" t="s">
        <v>2010</v>
      </c>
      <c r="D721" t="s">
        <v>1628</v>
      </c>
      <c r="E721" t="s">
        <v>2011</v>
      </c>
      <c r="F721">
        <v>0.85360000000000003</v>
      </c>
      <c r="G721" t="s">
        <v>1630</v>
      </c>
      <c r="H721" t="s">
        <v>14</v>
      </c>
      <c r="I721" s="26">
        <v>42419</v>
      </c>
    </row>
    <row r="722" spans="1:9" x14ac:dyDescent="0.2">
      <c r="A722">
        <v>709</v>
      </c>
      <c r="B722" t="s">
        <v>2012</v>
      </c>
      <c r="C722" t="s">
        <v>2013</v>
      </c>
      <c r="D722" t="s">
        <v>1628</v>
      </c>
      <c r="E722" t="s">
        <v>2014</v>
      </c>
      <c r="F722">
        <v>4.26</v>
      </c>
      <c r="G722" t="s">
        <v>1630</v>
      </c>
      <c r="H722" t="s">
        <v>14</v>
      </c>
      <c r="I722" s="26"/>
    </row>
    <row r="723" spans="1:9" x14ac:dyDescent="0.2">
      <c r="A723">
        <v>710</v>
      </c>
      <c r="B723" t="s">
        <v>2015</v>
      </c>
      <c r="C723" t="s">
        <v>2016</v>
      </c>
      <c r="D723" t="s">
        <v>1628</v>
      </c>
      <c r="E723" t="s">
        <v>2017</v>
      </c>
      <c r="F723">
        <v>4.78</v>
      </c>
      <c r="G723" t="s">
        <v>1630</v>
      </c>
      <c r="H723" t="s">
        <v>14</v>
      </c>
      <c r="I723" s="26"/>
    </row>
    <row r="724" spans="1:9" x14ac:dyDescent="0.2">
      <c r="A724">
        <v>711</v>
      </c>
      <c r="B724" t="s">
        <v>2018</v>
      </c>
      <c r="C724" t="s">
        <v>2019</v>
      </c>
      <c r="D724" t="s">
        <v>1628</v>
      </c>
      <c r="E724" t="s">
        <v>2020</v>
      </c>
      <c r="F724">
        <v>2.38</v>
      </c>
      <c r="G724" t="s">
        <v>1630</v>
      </c>
      <c r="H724" t="s">
        <v>14</v>
      </c>
      <c r="I724" s="26">
        <v>42419</v>
      </c>
    </row>
    <row r="725" spans="1:9" x14ac:dyDescent="0.2">
      <c r="A725">
        <v>712</v>
      </c>
      <c r="B725" t="s">
        <v>2021</v>
      </c>
      <c r="C725" t="s">
        <v>2022</v>
      </c>
      <c r="D725" t="s">
        <v>1779</v>
      </c>
      <c r="E725" t="s">
        <v>2023</v>
      </c>
      <c r="F725">
        <v>386.09</v>
      </c>
      <c r="G725" t="s">
        <v>1781</v>
      </c>
      <c r="H725" t="s">
        <v>14</v>
      </c>
      <c r="I725" s="26"/>
    </row>
    <row r="726" spans="1:9" x14ac:dyDescent="0.2">
      <c r="A726">
        <v>713</v>
      </c>
      <c r="B726" t="s">
        <v>2024</v>
      </c>
      <c r="C726" t="s">
        <v>2025</v>
      </c>
      <c r="D726" t="s">
        <v>1779</v>
      </c>
      <c r="E726" t="s">
        <v>2026</v>
      </c>
      <c r="F726">
        <v>28.98</v>
      </c>
      <c r="G726" t="s">
        <v>1781</v>
      </c>
      <c r="H726" t="s">
        <v>14</v>
      </c>
      <c r="I726" s="26"/>
    </row>
    <row r="727" spans="1:9" x14ac:dyDescent="0.2">
      <c r="A727">
        <v>714</v>
      </c>
      <c r="B727" t="s">
        <v>2027</v>
      </c>
      <c r="C727" t="s">
        <v>2028</v>
      </c>
      <c r="D727" t="s">
        <v>40</v>
      </c>
      <c r="E727" t="s">
        <v>2029</v>
      </c>
      <c r="F727">
        <v>36.33</v>
      </c>
      <c r="G727" t="s">
        <v>42</v>
      </c>
      <c r="H727" t="s">
        <v>14</v>
      </c>
      <c r="I727" s="26"/>
    </row>
    <row r="728" spans="1:9" x14ac:dyDescent="0.2">
      <c r="A728">
        <v>715</v>
      </c>
      <c r="B728" t="s">
        <v>2030</v>
      </c>
      <c r="C728" t="s">
        <v>2031</v>
      </c>
      <c r="D728" t="s">
        <v>40</v>
      </c>
      <c r="E728" t="s">
        <v>2032</v>
      </c>
      <c r="F728">
        <v>9.69</v>
      </c>
      <c r="G728" t="s">
        <v>42</v>
      </c>
      <c r="H728" t="s">
        <v>14</v>
      </c>
      <c r="I728" s="26"/>
    </row>
    <row r="729" spans="1:9" x14ac:dyDescent="0.2">
      <c r="A729">
        <v>716</v>
      </c>
      <c r="B729" t="s">
        <v>2033</v>
      </c>
      <c r="C729" t="s">
        <v>2034</v>
      </c>
      <c r="D729" t="s">
        <v>1447</v>
      </c>
      <c r="E729" t="s">
        <v>2035</v>
      </c>
      <c r="F729">
        <v>94.76</v>
      </c>
      <c r="G729" t="s">
        <v>1449</v>
      </c>
      <c r="H729" t="s">
        <v>14</v>
      </c>
      <c r="I729" s="26"/>
    </row>
    <row r="730" spans="1:9" x14ac:dyDescent="0.2">
      <c r="A730">
        <v>717</v>
      </c>
      <c r="B730" t="s">
        <v>2036</v>
      </c>
      <c r="C730" t="s">
        <v>2037</v>
      </c>
      <c r="D730" t="s">
        <v>1779</v>
      </c>
      <c r="E730" t="s">
        <v>2038</v>
      </c>
      <c r="F730">
        <v>3.35</v>
      </c>
      <c r="G730" t="s">
        <v>1781</v>
      </c>
      <c r="H730" t="s">
        <v>14</v>
      </c>
      <c r="I730" s="26"/>
    </row>
    <row r="731" spans="1:9" x14ac:dyDescent="0.2">
      <c r="A731">
        <v>718</v>
      </c>
      <c r="B731" t="s">
        <v>2039</v>
      </c>
      <c r="C731" t="s">
        <v>2040</v>
      </c>
      <c r="D731" t="s">
        <v>131</v>
      </c>
      <c r="E731" t="s">
        <v>2041</v>
      </c>
      <c r="F731">
        <v>103</v>
      </c>
      <c r="G731" t="s">
        <v>133</v>
      </c>
      <c r="H731" t="s">
        <v>14</v>
      </c>
      <c r="I731" s="26"/>
    </row>
    <row r="732" spans="1:9" x14ac:dyDescent="0.2">
      <c r="A732">
        <v>719</v>
      </c>
      <c r="B732" t="s">
        <v>2042</v>
      </c>
      <c r="C732" t="s">
        <v>2043</v>
      </c>
      <c r="D732" t="s">
        <v>537</v>
      </c>
      <c r="E732" t="s">
        <v>2044</v>
      </c>
      <c r="G732" t="s">
        <v>539</v>
      </c>
      <c r="H732" t="s">
        <v>14</v>
      </c>
      <c r="I732" s="26"/>
    </row>
    <row r="733" spans="1:9" x14ac:dyDescent="0.2">
      <c r="A733">
        <v>720</v>
      </c>
      <c r="B733" t="s">
        <v>2045</v>
      </c>
      <c r="C733" t="s">
        <v>2046</v>
      </c>
      <c r="D733" t="s">
        <v>508</v>
      </c>
      <c r="E733" t="s">
        <v>2047</v>
      </c>
      <c r="F733">
        <v>9.9600000000000009</v>
      </c>
      <c r="G733" t="s">
        <v>510</v>
      </c>
      <c r="H733" t="s">
        <v>14</v>
      </c>
      <c r="I733" s="26"/>
    </row>
    <row r="734" spans="1:9" x14ac:dyDescent="0.2">
      <c r="A734">
        <v>721</v>
      </c>
      <c r="B734" t="s">
        <v>2048</v>
      </c>
      <c r="C734" t="s">
        <v>2049</v>
      </c>
      <c r="D734" t="s">
        <v>508</v>
      </c>
      <c r="E734" t="s">
        <v>2050</v>
      </c>
      <c r="F734">
        <v>256.85000000000002</v>
      </c>
      <c r="G734" t="s">
        <v>510</v>
      </c>
      <c r="H734" t="s">
        <v>14</v>
      </c>
      <c r="I734" s="26"/>
    </row>
    <row r="735" spans="1:9" x14ac:dyDescent="0.2">
      <c r="A735">
        <v>722</v>
      </c>
      <c r="B735" t="s">
        <v>2051</v>
      </c>
      <c r="C735" t="s">
        <v>2052</v>
      </c>
      <c r="D735" t="s">
        <v>40</v>
      </c>
      <c r="E735" t="s">
        <v>2053</v>
      </c>
      <c r="F735">
        <v>32.03</v>
      </c>
      <c r="G735" t="s">
        <v>42</v>
      </c>
      <c r="H735" t="s">
        <v>14</v>
      </c>
      <c r="I735" s="26">
        <v>43025</v>
      </c>
    </row>
    <row r="736" spans="1:9" x14ac:dyDescent="0.2">
      <c r="A736">
        <v>723</v>
      </c>
      <c r="B736" t="s">
        <v>2054</v>
      </c>
      <c r="C736" t="s">
        <v>2055</v>
      </c>
      <c r="D736" t="s">
        <v>40</v>
      </c>
      <c r="E736" t="s">
        <v>2056</v>
      </c>
      <c r="F736">
        <v>39.94</v>
      </c>
      <c r="G736" t="s">
        <v>42</v>
      </c>
      <c r="H736" t="s">
        <v>14</v>
      </c>
      <c r="I736" s="26">
        <v>43025</v>
      </c>
    </row>
    <row r="737" spans="1:9" x14ac:dyDescent="0.2">
      <c r="A737">
        <v>724</v>
      </c>
      <c r="B737" t="s">
        <v>2057</v>
      </c>
      <c r="C737" t="s">
        <v>2058</v>
      </c>
      <c r="D737" t="s">
        <v>1190</v>
      </c>
      <c r="E737" t="s">
        <v>2059</v>
      </c>
      <c r="F737">
        <v>87.1</v>
      </c>
      <c r="G737" t="s">
        <v>1192</v>
      </c>
      <c r="H737" t="s">
        <v>14</v>
      </c>
      <c r="I737" s="26">
        <v>43025</v>
      </c>
    </row>
    <row r="738" spans="1:9" x14ac:dyDescent="0.2">
      <c r="A738">
        <v>725</v>
      </c>
      <c r="B738" t="s">
        <v>2060</v>
      </c>
      <c r="C738" t="s">
        <v>2061</v>
      </c>
      <c r="D738" t="s">
        <v>40</v>
      </c>
      <c r="E738" t="s">
        <v>2062</v>
      </c>
      <c r="F738">
        <v>22.61</v>
      </c>
      <c r="G738" t="s">
        <v>42</v>
      </c>
      <c r="H738" t="s">
        <v>14</v>
      </c>
      <c r="I738" s="26">
        <v>43025</v>
      </c>
    </row>
    <row r="739" spans="1:9" x14ac:dyDescent="0.2">
      <c r="A739">
        <v>726</v>
      </c>
      <c r="B739" t="s">
        <v>2063</v>
      </c>
      <c r="C739" t="s">
        <v>2064</v>
      </c>
      <c r="D739" t="s">
        <v>573</v>
      </c>
      <c r="E739" t="s">
        <v>2065</v>
      </c>
      <c r="F739">
        <v>493.53500000000003</v>
      </c>
      <c r="G739" t="s">
        <v>574</v>
      </c>
      <c r="H739" t="s">
        <v>14</v>
      </c>
      <c r="I739" s="26">
        <v>43025</v>
      </c>
    </row>
    <row r="740" spans="1:9" x14ac:dyDescent="0.2">
      <c r="A740">
        <v>727</v>
      </c>
      <c r="B740" t="s">
        <v>2066</v>
      </c>
      <c r="C740" t="s">
        <v>2067</v>
      </c>
      <c r="D740" t="s">
        <v>508</v>
      </c>
      <c r="E740" t="s">
        <v>2068</v>
      </c>
      <c r="F740">
        <v>41.54</v>
      </c>
      <c r="G740" t="s">
        <v>510</v>
      </c>
      <c r="H740" t="s">
        <v>14</v>
      </c>
      <c r="I740" s="26">
        <v>43025</v>
      </c>
    </row>
    <row r="741" spans="1:9" x14ac:dyDescent="0.2">
      <c r="A741">
        <v>728</v>
      </c>
      <c r="B741" t="s">
        <v>2069</v>
      </c>
      <c r="C741" t="s">
        <v>1124</v>
      </c>
      <c r="D741" t="s">
        <v>1029</v>
      </c>
      <c r="E741" t="s">
        <v>2070</v>
      </c>
      <c r="F741">
        <v>59.77</v>
      </c>
      <c r="G741" t="s">
        <v>1031</v>
      </c>
      <c r="H741" t="s">
        <v>14</v>
      </c>
      <c r="I741" s="26">
        <v>43025</v>
      </c>
    </row>
    <row r="742" spans="1:9" x14ac:dyDescent="0.2">
      <c r="A742">
        <v>729</v>
      </c>
      <c r="B742" t="s">
        <v>2071</v>
      </c>
      <c r="C742" t="s">
        <v>2072</v>
      </c>
      <c r="D742" t="s">
        <v>2073</v>
      </c>
      <c r="E742" t="s">
        <v>2074</v>
      </c>
      <c r="F742">
        <v>237</v>
      </c>
      <c r="G742" t="s">
        <v>2075</v>
      </c>
      <c r="H742" t="s">
        <v>14</v>
      </c>
      <c r="I742" s="26">
        <v>43025</v>
      </c>
    </row>
    <row r="743" spans="1:9" x14ac:dyDescent="0.2">
      <c r="A743">
        <v>730</v>
      </c>
      <c r="B743" t="s">
        <v>2076</v>
      </c>
      <c r="C743" t="s">
        <v>2077</v>
      </c>
      <c r="D743" t="s">
        <v>2073</v>
      </c>
      <c r="E743" t="s">
        <v>2078</v>
      </c>
      <c r="F743">
        <v>207.75</v>
      </c>
      <c r="G743" t="s">
        <v>2075</v>
      </c>
      <c r="H743" t="s">
        <v>14</v>
      </c>
      <c r="I743" s="26">
        <v>43025</v>
      </c>
    </row>
    <row r="744" spans="1:9" x14ac:dyDescent="0.2">
      <c r="A744">
        <v>731</v>
      </c>
      <c r="B744" t="s">
        <v>2079</v>
      </c>
      <c r="C744" t="s">
        <v>2080</v>
      </c>
      <c r="D744" t="s">
        <v>816</v>
      </c>
      <c r="E744" t="s">
        <v>2081</v>
      </c>
      <c r="F744">
        <v>572</v>
      </c>
      <c r="G744" t="s">
        <v>818</v>
      </c>
      <c r="H744" t="s">
        <v>14</v>
      </c>
      <c r="I744" s="26">
        <v>43025</v>
      </c>
    </row>
    <row r="745" spans="1:9" x14ac:dyDescent="0.2">
      <c r="A745">
        <v>732</v>
      </c>
      <c r="B745" t="s">
        <v>2082</v>
      </c>
      <c r="C745" t="s">
        <v>2080</v>
      </c>
      <c r="D745" t="s">
        <v>573</v>
      </c>
      <c r="E745" t="s">
        <v>2083</v>
      </c>
      <c r="F745">
        <v>268.77</v>
      </c>
      <c r="G745" t="s">
        <v>574</v>
      </c>
      <c r="H745" t="s">
        <v>14</v>
      </c>
      <c r="I745" s="26">
        <v>43025</v>
      </c>
    </row>
    <row r="746" spans="1:9" x14ac:dyDescent="0.2">
      <c r="A746">
        <v>733</v>
      </c>
      <c r="B746" t="s">
        <v>2084</v>
      </c>
      <c r="C746" t="s">
        <v>2085</v>
      </c>
      <c r="D746" t="s">
        <v>573</v>
      </c>
      <c r="E746" t="s">
        <v>2086</v>
      </c>
      <c r="F746">
        <v>622.51</v>
      </c>
      <c r="G746" t="s">
        <v>574</v>
      </c>
      <c r="H746" t="s">
        <v>14</v>
      </c>
      <c r="I746" s="26">
        <v>43025</v>
      </c>
    </row>
    <row r="747" spans="1:9" x14ac:dyDescent="0.2">
      <c r="A747">
        <v>734</v>
      </c>
      <c r="B747" t="s">
        <v>2087</v>
      </c>
      <c r="C747" t="s">
        <v>2088</v>
      </c>
      <c r="D747" t="s">
        <v>508</v>
      </c>
      <c r="E747" t="s">
        <v>2089</v>
      </c>
      <c r="F747">
        <v>137.19</v>
      </c>
      <c r="G747" t="s">
        <v>510</v>
      </c>
      <c r="H747" t="s">
        <v>14</v>
      </c>
      <c r="I747" s="26">
        <v>43025</v>
      </c>
    </row>
    <row r="748" spans="1:9" x14ac:dyDescent="0.2">
      <c r="A748">
        <v>735</v>
      </c>
      <c r="B748" t="s">
        <v>2090</v>
      </c>
      <c r="C748" t="s">
        <v>2091</v>
      </c>
      <c r="D748" t="s">
        <v>508</v>
      </c>
      <c r="E748" t="s">
        <v>2092</v>
      </c>
      <c r="F748">
        <v>111.5</v>
      </c>
      <c r="G748" t="s">
        <v>510</v>
      </c>
      <c r="H748" t="s">
        <v>14</v>
      </c>
      <c r="I748" s="26">
        <v>43025</v>
      </c>
    </row>
    <row r="749" spans="1:9" x14ac:dyDescent="0.2">
      <c r="A749">
        <v>736</v>
      </c>
      <c r="B749" t="s">
        <v>2093</v>
      </c>
      <c r="C749" t="s">
        <v>2094</v>
      </c>
      <c r="D749" t="s">
        <v>2095</v>
      </c>
      <c r="E749" t="s">
        <v>2096</v>
      </c>
      <c r="F749">
        <v>365.39</v>
      </c>
      <c r="G749" t="s">
        <v>2097</v>
      </c>
      <c r="H749" t="s">
        <v>14</v>
      </c>
      <c r="I749" s="26">
        <v>43025</v>
      </c>
    </row>
    <row r="750" spans="1:9" x14ac:dyDescent="0.2">
      <c r="A750">
        <v>737</v>
      </c>
      <c r="B750" t="s">
        <v>2098</v>
      </c>
      <c r="C750" t="s">
        <v>2099</v>
      </c>
      <c r="D750" t="s">
        <v>2095</v>
      </c>
      <c r="E750" t="s">
        <v>2100</v>
      </c>
      <c r="F750">
        <v>103.67</v>
      </c>
      <c r="G750" t="s">
        <v>2097</v>
      </c>
      <c r="H750" t="s">
        <v>14</v>
      </c>
      <c r="I750" s="26">
        <v>43025</v>
      </c>
    </row>
    <row r="751" spans="1:9" x14ac:dyDescent="0.2">
      <c r="A751">
        <v>738</v>
      </c>
      <c r="B751" t="s">
        <v>2101</v>
      </c>
      <c r="C751" t="s">
        <v>2102</v>
      </c>
      <c r="D751" t="s">
        <v>2103</v>
      </c>
      <c r="E751" t="s">
        <v>2104</v>
      </c>
      <c r="F751">
        <v>64</v>
      </c>
      <c r="G751" t="s">
        <v>2105</v>
      </c>
      <c r="H751" t="s">
        <v>14</v>
      </c>
      <c r="I751" s="26">
        <v>43025</v>
      </c>
    </row>
    <row r="752" spans="1:9" x14ac:dyDescent="0.2">
      <c r="A752">
        <v>739</v>
      </c>
      <c r="B752" t="s">
        <v>2106</v>
      </c>
      <c r="C752" t="s">
        <v>2107</v>
      </c>
      <c r="D752" t="s">
        <v>1151</v>
      </c>
      <c r="E752" t="s">
        <v>2108</v>
      </c>
      <c r="F752">
        <v>14.532</v>
      </c>
      <c r="G752" t="s">
        <v>1153</v>
      </c>
      <c r="H752" t="s">
        <v>14</v>
      </c>
      <c r="I752" s="26">
        <v>43025</v>
      </c>
    </row>
    <row r="753" spans="1:9" x14ac:dyDescent="0.2">
      <c r="A753">
        <v>740</v>
      </c>
      <c r="B753" t="s">
        <v>2109</v>
      </c>
      <c r="C753" t="s">
        <v>2110</v>
      </c>
      <c r="D753" t="s">
        <v>508</v>
      </c>
      <c r="E753" t="s">
        <v>2111</v>
      </c>
      <c r="F753">
        <v>35.880000000000003</v>
      </c>
      <c r="G753" t="s">
        <v>510</v>
      </c>
      <c r="H753" t="s">
        <v>14</v>
      </c>
      <c r="I753" s="26">
        <v>43025</v>
      </c>
    </row>
    <row r="754" spans="1:9" x14ac:dyDescent="0.2">
      <c r="A754">
        <v>741</v>
      </c>
      <c r="B754" t="s">
        <v>2112</v>
      </c>
      <c r="C754" t="s">
        <v>2110</v>
      </c>
      <c r="D754" t="s">
        <v>508</v>
      </c>
      <c r="E754" t="s">
        <v>2113</v>
      </c>
      <c r="F754">
        <v>35.880000000000003</v>
      </c>
      <c r="G754" t="s">
        <v>510</v>
      </c>
      <c r="H754" t="s">
        <v>14</v>
      </c>
      <c r="I754" s="26">
        <v>43025</v>
      </c>
    </row>
    <row r="755" spans="1:9" x14ac:dyDescent="0.2">
      <c r="A755">
        <v>742</v>
      </c>
      <c r="B755" t="s">
        <v>2114</v>
      </c>
      <c r="C755" t="s">
        <v>2115</v>
      </c>
      <c r="D755" t="s">
        <v>2116</v>
      </c>
      <c r="E755" t="s">
        <v>2117</v>
      </c>
      <c r="F755">
        <v>328.46</v>
      </c>
      <c r="G755" t="s">
        <v>2118</v>
      </c>
      <c r="H755" t="s">
        <v>14</v>
      </c>
      <c r="I755" s="26">
        <v>43025</v>
      </c>
    </row>
    <row r="756" spans="1:9" x14ac:dyDescent="0.2">
      <c r="A756">
        <v>743</v>
      </c>
      <c r="B756" t="s">
        <v>2119</v>
      </c>
      <c r="C756" t="s">
        <v>2120</v>
      </c>
      <c r="D756" t="s">
        <v>508</v>
      </c>
      <c r="E756" t="s">
        <v>2121</v>
      </c>
      <c r="F756">
        <v>34.24</v>
      </c>
      <c r="G756" t="s">
        <v>510</v>
      </c>
      <c r="H756" t="s">
        <v>14</v>
      </c>
      <c r="I756" s="26">
        <v>43025</v>
      </c>
    </row>
    <row r="757" spans="1:9" x14ac:dyDescent="0.2">
      <c r="A757">
        <v>744</v>
      </c>
      <c r="B757" t="s">
        <v>2122</v>
      </c>
      <c r="C757" t="s">
        <v>2123</v>
      </c>
      <c r="D757" t="s">
        <v>508</v>
      </c>
      <c r="E757" t="s">
        <v>2124</v>
      </c>
      <c r="F757">
        <v>61.2</v>
      </c>
      <c r="G757" t="s">
        <v>510</v>
      </c>
      <c r="H757" t="s">
        <v>14</v>
      </c>
      <c r="I757" s="26">
        <v>43025</v>
      </c>
    </row>
    <row r="758" spans="1:9" x14ac:dyDescent="0.2">
      <c r="A758">
        <v>745</v>
      </c>
      <c r="B758" t="s">
        <v>2125</v>
      </c>
      <c r="C758" t="s">
        <v>2126</v>
      </c>
      <c r="D758" t="s">
        <v>508</v>
      </c>
      <c r="E758" t="s">
        <v>2127</v>
      </c>
      <c r="F758">
        <v>57.24</v>
      </c>
      <c r="G758" t="s">
        <v>510</v>
      </c>
      <c r="H758" t="s">
        <v>14</v>
      </c>
      <c r="I758" s="26">
        <v>43025</v>
      </c>
    </row>
    <row r="759" spans="1:9" x14ac:dyDescent="0.2">
      <c r="A759">
        <v>746</v>
      </c>
      <c r="B759" t="s">
        <v>2128</v>
      </c>
      <c r="C759" t="s">
        <v>2129</v>
      </c>
      <c r="D759" t="s">
        <v>508</v>
      </c>
      <c r="E759" t="s">
        <v>2130</v>
      </c>
      <c r="F759">
        <v>204.45</v>
      </c>
      <c r="G759" t="s">
        <v>510</v>
      </c>
      <c r="H759" t="s">
        <v>14</v>
      </c>
      <c r="I759" s="26">
        <v>43025</v>
      </c>
    </row>
    <row r="760" spans="1:9" x14ac:dyDescent="0.2">
      <c r="A760">
        <v>747</v>
      </c>
      <c r="B760" t="s">
        <v>2131</v>
      </c>
      <c r="C760" t="s">
        <v>2132</v>
      </c>
      <c r="D760" t="s">
        <v>2095</v>
      </c>
      <c r="E760" t="s">
        <v>2133</v>
      </c>
      <c r="F760">
        <v>177.09</v>
      </c>
      <c r="G760" t="s">
        <v>2097</v>
      </c>
      <c r="H760" t="s">
        <v>14</v>
      </c>
      <c r="I760" s="26">
        <v>43025</v>
      </c>
    </row>
    <row r="761" spans="1:9" x14ac:dyDescent="0.2">
      <c r="A761">
        <v>748</v>
      </c>
      <c r="B761" t="s">
        <v>2134</v>
      </c>
      <c r="C761" t="s">
        <v>2135</v>
      </c>
      <c r="D761" t="s">
        <v>573</v>
      </c>
      <c r="E761" t="s">
        <v>2136</v>
      </c>
      <c r="F761">
        <v>61.215000000000003</v>
      </c>
      <c r="G761" t="s">
        <v>574</v>
      </c>
      <c r="H761" t="s">
        <v>14</v>
      </c>
      <c r="I761" s="26">
        <v>43025</v>
      </c>
    </row>
    <row r="762" spans="1:9" x14ac:dyDescent="0.2">
      <c r="A762">
        <v>749</v>
      </c>
      <c r="B762" t="s">
        <v>2137</v>
      </c>
      <c r="C762" t="s">
        <v>2138</v>
      </c>
      <c r="D762" t="s">
        <v>1262</v>
      </c>
      <c r="E762" t="s">
        <v>2139</v>
      </c>
      <c r="F762">
        <v>147.32</v>
      </c>
      <c r="G762" t="s">
        <v>1264</v>
      </c>
      <c r="H762" t="s">
        <v>14</v>
      </c>
      <c r="I762" s="26">
        <v>43025</v>
      </c>
    </row>
    <row r="763" spans="1:9" x14ac:dyDescent="0.2">
      <c r="A763">
        <v>750</v>
      </c>
      <c r="B763" t="s">
        <v>2140</v>
      </c>
      <c r="C763" t="s">
        <v>2141</v>
      </c>
      <c r="D763" t="s">
        <v>415</v>
      </c>
      <c r="E763" t="s">
        <v>2142</v>
      </c>
      <c r="F763">
        <v>48.83</v>
      </c>
      <c r="G763" t="s">
        <v>417</v>
      </c>
      <c r="H763" t="s">
        <v>14</v>
      </c>
      <c r="I763" s="26">
        <v>43025</v>
      </c>
    </row>
    <row r="764" spans="1:9" x14ac:dyDescent="0.2">
      <c r="A764">
        <v>751</v>
      </c>
      <c r="B764" t="s">
        <v>2143</v>
      </c>
      <c r="C764" t="s">
        <v>2138</v>
      </c>
      <c r="D764" t="s">
        <v>2144</v>
      </c>
      <c r="E764" t="s">
        <v>2145</v>
      </c>
      <c r="F764">
        <v>97.7</v>
      </c>
      <c r="G764" t="s">
        <v>2146</v>
      </c>
      <c r="H764" t="s">
        <v>14</v>
      </c>
      <c r="I764" s="26">
        <v>43025</v>
      </c>
    </row>
    <row r="765" spans="1:9" x14ac:dyDescent="0.2">
      <c r="A765">
        <v>752</v>
      </c>
      <c r="B765" t="s">
        <v>2147</v>
      </c>
      <c r="C765" t="s">
        <v>2148</v>
      </c>
      <c r="D765" t="s">
        <v>2149</v>
      </c>
      <c r="E765" t="s">
        <v>2150</v>
      </c>
      <c r="F765">
        <v>117.38</v>
      </c>
      <c r="G765" t="s">
        <v>2151</v>
      </c>
      <c r="H765" t="s">
        <v>14</v>
      </c>
      <c r="I765" s="26">
        <v>43025</v>
      </c>
    </row>
    <row r="766" spans="1:9" x14ac:dyDescent="0.2">
      <c r="A766">
        <v>753</v>
      </c>
      <c r="B766" t="s">
        <v>2152</v>
      </c>
      <c r="C766" t="s">
        <v>2153</v>
      </c>
      <c r="D766" t="s">
        <v>2149</v>
      </c>
      <c r="E766" t="s">
        <v>2154</v>
      </c>
      <c r="F766">
        <v>3.74</v>
      </c>
      <c r="G766" t="s">
        <v>2151</v>
      </c>
      <c r="H766" t="s">
        <v>14</v>
      </c>
      <c r="I766" s="26">
        <v>43025</v>
      </c>
    </row>
    <row r="767" spans="1:9" x14ac:dyDescent="0.2">
      <c r="A767">
        <v>754</v>
      </c>
      <c r="B767" t="s">
        <v>2155</v>
      </c>
      <c r="C767" t="s">
        <v>2156</v>
      </c>
      <c r="D767" t="s">
        <v>1069</v>
      </c>
      <c r="E767" t="s">
        <v>2155</v>
      </c>
      <c r="F767">
        <v>205.43</v>
      </c>
      <c r="G767" t="s">
        <v>1071</v>
      </c>
      <c r="H767" t="s">
        <v>14</v>
      </c>
      <c r="I767" s="26">
        <v>43025</v>
      </c>
    </row>
    <row r="768" spans="1:9" x14ac:dyDescent="0.2">
      <c r="A768">
        <v>755</v>
      </c>
      <c r="B768" t="s">
        <v>2157</v>
      </c>
      <c r="C768" t="s">
        <v>2158</v>
      </c>
      <c r="D768" t="s">
        <v>40</v>
      </c>
      <c r="E768" t="s">
        <v>2159</v>
      </c>
      <c r="F768">
        <v>42.62</v>
      </c>
      <c r="G768" t="s">
        <v>42</v>
      </c>
      <c r="H768" t="s">
        <v>14</v>
      </c>
      <c r="I768" s="26">
        <v>43025</v>
      </c>
    </row>
    <row r="769" spans="1:9" x14ac:dyDescent="0.2">
      <c r="A769">
        <v>756</v>
      </c>
      <c r="B769" t="s">
        <v>2160</v>
      </c>
      <c r="C769" t="s">
        <v>2161</v>
      </c>
      <c r="D769" t="s">
        <v>1708</v>
      </c>
      <c r="E769" t="s">
        <v>2162</v>
      </c>
      <c r="F769">
        <v>70.959999999999994</v>
      </c>
      <c r="G769" t="s">
        <v>1710</v>
      </c>
      <c r="H769" t="s">
        <v>14</v>
      </c>
      <c r="I769" s="26">
        <v>43025</v>
      </c>
    </row>
    <row r="770" spans="1:9" x14ac:dyDescent="0.2">
      <c r="A770">
        <v>757</v>
      </c>
      <c r="B770" t="s">
        <v>2163</v>
      </c>
      <c r="C770" t="s">
        <v>2164</v>
      </c>
      <c r="D770" t="s">
        <v>415</v>
      </c>
      <c r="E770" t="s">
        <v>2165</v>
      </c>
      <c r="F770">
        <v>31.96</v>
      </c>
      <c r="G770" t="s">
        <v>417</v>
      </c>
      <c r="H770" t="s">
        <v>14</v>
      </c>
      <c r="I770" s="26">
        <v>43025</v>
      </c>
    </row>
    <row r="771" spans="1:9" x14ac:dyDescent="0.2">
      <c r="A771">
        <v>758</v>
      </c>
      <c r="B771" t="s">
        <v>2166</v>
      </c>
      <c r="C771" t="s">
        <v>2167</v>
      </c>
      <c r="D771" t="s">
        <v>508</v>
      </c>
      <c r="E771" t="s">
        <v>2168</v>
      </c>
      <c r="F771">
        <v>35.54</v>
      </c>
      <c r="G771" t="s">
        <v>510</v>
      </c>
      <c r="H771" t="s">
        <v>14</v>
      </c>
      <c r="I771" s="26">
        <v>43025</v>
      </c>
    </row>
    <row r="772" spans="1:9" x14ac:dyDescent="0.2">
      <c r="A772">
        <v>759</v>
      </c>
      <c r="B772" t="s">
        <v>2169</v>
      </c>
      <c r="C772" t="s">
        <v>2170</v>
      </c>
      <c r="D772" t="s">
        <v>508</v>
      </c>
      <c r="E772" t="s">
        <v>2171</v>
      </c>
      <c r="F772">
        <v>13.43</v>
      </c>
      <c r="G772" t="s">
        <v>510</v>
      </c>
      <c r="H772" t="s">
        <v>14</v>
      </c>
      <c r="I772" s="26">
        <v>43025</v>
      </c>
    </row>
    <row r="773" spans="1:9" x14ac:dyDescent="0.2">
      <c r="A773">
        <v>760</v>
      </c>
      <c r="B773" t="s">
        <v>2172</v>
      </c>
      <c r="C773" t="s">
        <v>2173</v>
      </c>
      <c r="D773" t="s">
        <v>806</v>
      </c>
      <c r="E773" t="s">
        <v>2174</v>
      </c>
      <c r="F773">
        <v>298.8</v>
      </c>
      <c r="G773" t="s">
        <v>808</v>
      </c>
      <c r="H773" t="s">
        <v>14</v>
      </c>
      <c r="I773" s="26">
        <v>43025</v>
      </c>
    </row>
    <row r="774" spans="1:9" x14ac:dyDescent="0.2">
      <c r="A774">
        <v>761</v>
      </c>
      <c r="B774" t="s">
        <v>2175</v>
      </c>
      <c r="C774" t="s">
        <v>2176</v>
      </c>
      <c r="D774" t="s">
        <v>2177</v>
      </c>
      <c r="E774" t="s">
        <v>2178</v>
      </c>
      <c r="F774">
        <v>1997</v>
      </c>
      <c r="G774" t="s">
        <v>2179</v>
      </c>
      <c r="H774" t="s">
        <v>14</v>
      </c>
      <c r="I774" s="26">
        <v>43027</v>
      </c>
    </row>
    <row r="775" spans="1:9" x14ac:dyDescent="0.2">
      <c r="A775">
        <v>762</v>
      </c>
      <c r="B775" t="s">
        <v>2180</v>
      </c>
      <c r="C775" t="s">
        <v>2181</v>
      </c>
      <c r="D775" t="s">
        <v>508</v>
      </c>
      <c r="E775" t="s">
        <v>2182</v>
      </c>
      <c r="F775">
        <v>0</v>
      </c>
      <c r="G775" t="s">
        <v>510</v>
      </c>
      <c r="H775" t="s">
        <v>14</v>
      </c>
      <c r="I775" s="26">
        <v>43027</v>
      </c>
    </row>
    <row r="776" spans="1:9" x14ac:dyDescent="0.2">
      <c r="A776">
        <v>763</v>
      </c>
      <c r="B776" t="s">
        <v>2183</v>
      </c>
      <c r="C776" t="s">
        <v>2184</v>
      </c>
      <c r="D776" t="s">
        <v>40</v>
      </c>
      <c r="E776" t="s">
        <v>2185</v>
      </c>
      <c r="F776">
        <v>43.89</v>
      </c>
      <c r="G776" t="s">
        <v>42</v>
      </c>
      <c r="H776" t="s">
        <v>14</v>
      </c>
      <c r="I776" s="26">
        <v>43027</v>
      </c>
    </row>
    <row r="777" spans="1:9" x14ac:dyDescent="0.2">
      <c r="A777">
        <v>764</v>
      </c>
      <c r="B777" t="s">
        <v>2186</v>
      </c>
      <c r="C777" t="s">
        <v>2187</v>
      </c>
      <c r="D777" t="s">
        <v>1206</v>
      </c>
      <c r="E777" t="s">
        <v>2188</v>
      </c>
      <c r="F777">
        <v>2.2999999999999998</v>
      </c>
      <c r="G777" t="s">
        <v>1208</v>
      </c>
      <c r="H777" t="s">
        <v>14</v>
      </c>
      <c r="I777" s="26">
        <v>42307</v>
      </c>
    </row>
    <row r="778" spans="1:9" x14ac:dyDescent="0.2">
      <c r="A778">
        <v>765</v>
      </c>
      <c r="B778" t="s">
        <v>2189</v>
      </c>
      <c r="C778" t="s">
        <v>2190</v>
      </c>
      <c r="D778" t="s">
        <v>1628</v>
      </c>
      <c r="E778" t="s">
        <v>2191</v>
      </c>
      <c r="F778">
        <v>0.3</v>
      </c>
      <c r="G778" t="s">
        <v>1630</v>
      </c>
      <c r="H778" t="s">
        <v>14</v>
      </c>
      <c r="I778" s="26"/>
    </row>
    <row r="779" spans="1:9" x14ac:dyDescent="0.2">
      <c r="A779">
        <v>766</v>
      </c>
      <c r="B779" t="s">
        <v>2192</v>
      </c>
      <c r="C779" t="s">
        <v>2193</v>
      </c>
      <c r="D779" t="s">
        <v>1628</v>
      </c>
      <c r="E779" t="s">
        <v>2194</v>
      </c>
      <c r="F779">
        <v>0.53</v>
      </c>
      <c r="G779" t="s">
        <v>1630</v>
      </c>
      <c r="H779" t="s">
        <v>14</v>
      </c>
      <c r="I779" s="26">
        <v>43217</v>
      </c>
    </row>
    <row r="780" spans="1:9" x14ac:dyDescent="0.2">
      <c r="A780">
        <v>767</v>
      </c>
      <c r="B780" t="s">
        <v>2195</v>
      </c>
      <c r="C780" t="s">
        <v>2196</v>
      </c>
      <c r="D780" t="s">
        <v>1628</v>
      </c>
      <c r="E780" t="s">
        <v>2197</v>
      </c>
      <c r="F780">
        <v>0.47</v>
      </c>
      <c r="G780" t="s">
        <v>1630</v>
      </c>
      <c r="H780" t="s">
        <v>14</v>
      </c>
      <c r="I780" s="26">
        <v>43217</v>
      </c>
    </row>
    <row r="781" spans="1:9" x14ac:dyDescent="0.2">
      <c r="A781">
        <v>768</v>
      </c>
      <c r="B781" t="s">
        <v>2198</v>
      </c>
      <c r="C781" t="s">
        <v>2199</v>
      </c>
      <c r="D781" t="s">
        <v>1628</v>
      </c>
      <c r="E781" t="s">
        <v>2200</v>
      </c>
      <c r="F781">
        <v>0.45</v>
      </c>
      <c r="G781" t="s">
        <v>1630</v>
      </c>
      <c r="H781" t="s">
        <v>14</v>
      </c>
      <c r="I781" s="26">
        <v>43217</v>
      </c>
    </row>
    <row r="782" spans="1:9" x14ac:dyDescent="0.2">
      <c r="A782">
        <v>769</v>
      </c>
      <c r="B782" t="s">
        <v>2201</v>
      </c>
      <c r="C782" t="s">
        <v>2202</v>
      </c>
      <c r="D782" t="s">
        <v>2203</v>
      </c>
      <c r="E782" t="s">
        <v>2204</v>
      </c>
      <c r="F782">
        <v>8.4700000000000006</v>
      </c>
      <c r="G782" t="s">
        <v>2205</v>
      </c>
      <c r="H782" t="s">
        <v>14</v>
      </c>
      <c r="I782" s="26">
        <v>42289</v>
      </c>
    </row>
    <row r="783" spans="1:9" x14ac:dyDescent="0.2">
      <c r="A783">
        <v>770</v>
      </c>
      <c r="B783" t="s">
        <v>2206</v>
      </c>
      <c r="C783" t="s">
        <v>2207</v>
      </c>
      <c r="D783" t="s">
        <v>4558</v>
      </c>
      <c r="E783" t="s">
        <v>2208</v>
      </c>
      <c r="F783">
        <v>0.7</v>
      </c>
      <c r="G783" t="s">
        <v>610</v>
      </c>
      <c r="H783" t="s">
        <v>14</v>
      </c>
      <c r="I783" s="26">
        <v>42307</v>
      </c>
    </row>
    <row r="784" spans="1:9" x14ac:dyDescent="0.2">
      <c r="A784">
        <v>771</v>
      </c>
      <c r="B784" t="s">
        <v>2209</v>
      </c>
      <c r="C784" t="s">
        <v>2210</v>
      </c>
      <c r="D784" t="s">
        <v>1628</v>
      </c>
      <c r="E784" t="s">
        <v>2211</v>
      </c>
      <c r="F784">
        <v>0.4516</v>
      </c>
      <c r="G784" t="s">
        <v>1630</v>
      </c>
      <c r="H784" t="s">
        <v>14</v>
      </c>
      <c r="I784" s="26">
        <v>42551</v>
      </c>
    </row>
    <row r="785" spans="1:9" x14ac:dyDescent="0.2">
      <c r="A785">
        <v>772</v>
      </c>
      <c r="B785" t="s">
        <v>2212</v>
      </c>
      <c r="C785" t="s">
        <v>2213</v>
      </c>
      <c r="D785" t="s">
        <v>1628</v>
      </c>
      <c r="E785" t="s">
        <v>2214</v>
      </c>
      <c r="F785">
        <v>0.99</v>
      </c>
      <c r="G785" t="s">
        <v>1630</v>
      </c>
      <c r="H785" t="s">
        <v>14</v>
      </c>
      <c r="I785" s="26"/>
    </row>
    <row r="786" spans="1:9" x14ac:dyDescent="0.2">
      <c r="A786">
        <v>773</v>
      </c>
      <c r="B786" t="s">
        <v>2215</v>
      </c>
      <c r="C786" t="s">
        <v>2216</v>
      </c>
      <c r="D786" t="s">
        <v>1628</v>
      </c>
      <c r="E786" t="s">
        <v>2217</v>
      </c>
      <c r="F786">
        <v>1.32</v>
      </c>
      <c r="G786" t="s">
        <v>1630</v>
      </c>
      <c r="H786" t="s">
        <v>14</v>
      </c>
      <c r="I786" s="26">
        <v>42422</v>
      </c>
    </row>
    <row r="787" spans="1:9" x14ac:dyDescent="0.2">
      <c r="A787">
        <v>774</v>
      </c>
      <c r="B787" t="s">
        <v>2218</v>
      </c>
      <c r="C787" t="s">
        <v>2219</v>
      </c>
      <c r="D787" t="s">
        <v>1779</v>
      </c>
      <c r="E787" t="s">
        <v>2220</v>
      </c>
      <c r="F787">
        <v>62.08</v>
      </c>
      <c r="G787" t="s">
        <v>1781</v>
      </c>
      <c r="H787" t="s">
        <v>14</v>
      </c>
      <c r="I787" s="26">
        <v>42907</v>
      </c>
    </row>
    <row r="788" spans="1:9" x14ac:dyDescent="0.2">
      <c r="A788">
        <v>775</v>
      </c>
      <c r="B788" t="s">
        <v>2221</v>
      </c>
      <c r="C788" t="s">
        <v>2222</v>
      </c>
      <c r="D788" t="s">
        <v>1779</v>
      </c>
      <c r="E788" t="s">
        <v>2223</v>
      </c>
      <c r="F788">
        <v>9.7200000000000006</v>
      </c>
      <c r="G788" t="s">
        <v>1781</v>
      </c>
      <c r="H788" t="s">
        <v>14</v>
      </c>
      <c r="I788" s="26">
        <v>42907</v>
      </c>
    </row>
    <row r="789" spans="1:9" x14ac:dyDescent="0.2">
      <c r="A789">
        <v>776</v>
      </c>
      <c r="B789" t="s">
        <v>2224</v>
      </c>
      <c r="C789" t="s">
        <v>2225</v>
      </c>
      <c r="D789" t="s">
        <v>2103</v>
      </c>
      <c r="E789" t="s">
        <v>2226</v>
      </c>
      <c r="F789">
        <v>105.6</v>
      </c>
      <c r="G789" t="s">
        <v>2105</v>
      </c>
      <c r="H789" t="s">
        <v>14</v>
      </c>
      <c r="I789" s="26"/>
    </row>
    <row r="790" spans="1:9" x14ac:dyDescent="0.2">
      <c r="A790">
        <v>777</v>
      </c>
      <c r="B790" t="s">
        <v>2227</v>
      </c>
      <c r="C790" t="s">
        <v>2228</v>
      </c>
      <c r="D790" t="s">
        <v>1708</v>
      </c>
      <c r="E790" t="s">
        <v>2229</v>
      </c>
      <c r="F790">
        <v>30.69</v>
      </c>
      <c r="G790" t="s">
        <v>1710</v>
      </c>
      <c r="H790" t="s">
        <v>14</v>
      </c>
      <c r="I790" s="26">
        <v>42523</v>
      </c>
    </row>
    <row r="791" spans="1:9" x14ac:dyDescent="0.2">
      <c r="A791">
        <v>778</v>
      </c>
      <c r="B791" t="s">
        <v>2230</v>
      </c>
      <c r="C791" t="s">
        <v>2231</v>
      </c>
      <c r="D791" t="s">
        <v>1708</v>
      </c>
      <c r="E791" t="s">
        <v>2232</v>
      </c>
      <c r="F791">
        <v>14.39</v>
      </c>
      <c r="G791" t="s">
        <v>1710</v>
      </c>
      <c r="H791" t="s">
        <v>14</v>
      </c>
      <c r="I791" s="26"/>
    </row>
    <row r="792" spans="1:9" x14ac:dyDescent="0.2">
      <c r="A792">
        <v>779</v>
      </c>
      <c r="B792" t="s">
        <v>2233</v>
      </c>
      <c r="C792" t="s">
        <v>2234</v>
      </c>
      <c r="D792" t="s">
        <v>1708</v>
      </c>
      <c r="E792" t="s">
        <v>2235</v>
      </c>
      <c r="F792">
        <v>12.1</v>
      </c>
      <c r="G792" t="s">
        <v>1710</v>
      </c>
      <c r="H792" t="s">
        <v>14</v>
      </c>
      <c r="I792" s="26"/>
    </row>
    <row r="793" spans="1:9" x14ac:dyDescent="0.2">
      <c r="A793">
        <v>780</v>
      </c>
      <c r="B793" t="s">
        <v>2236</v>
      </c>
      <c r="C793" t="s">
        <v>2237</v>
      </c>
      <c r="D793" t="s">
        <v>706</v>
      </c>
      <c r="E793" t="s">
        <v>2238</v>
      </c>
      <c r="F793">
        <v>21.32</v>
      </c>
      <c r="G793" t="s">
        <v>708</v>
      </c>
      <c r="H793" t="s">
        <v>14</v>
      </c>
      <c r="I793" s="26">
        <v>42305</v>
      </c>
    </row>
    <row r="794" spans="1:9" x14ac:dyDescent="0.2">
      <c r="A794">
        <v>781</v>
      </c>
      <c r="B794" t="s">
        <v>2239</v>
      </c>
      <c r="C794" t="s">
        <v>2240</v>
      </c>
      <c r="D794" t="s">
        <v>1620</v>
      </c>
      <c r="E794" t="s">
        <v>2241</v>
      </c>
      <c r="F794">
        <v>895.72</v>
      </c>
      <c r="G794" t="s">
        <v>1622</v>
      </c>
      <c r="H794" t="s">
        <v>14</v>
      </c>
      <c r="I794" s="26"/>
    </row>
    <row r="795" spans="1:9" x14ac:dyDescent="0.2">
      <c r="A795">
        <v>782</v>
      </c>
      <c r="B795" t="s">
        <v>2242</v>
      </c>
      <c r="C795" t="s">
        <v>2243</v>
      </c>
      <c r="D795" t="s">
        <v>1447</v>
      </c>
      <c r="E795" t="s">
        <v>1491</v>
      </c>
      <c r="F795">
        <v>60.26</v>
      </c>
      <c r="G795" t="s">
        <v>1449</v>
      </c>
      <c r="H795" t="s">
        <v>14</v>
      </c>
      <c r="I795" s="26"/>
    </row>
    <row r="796" spans="1:9" x14ac:dyDescent="0.2">
      <c r="A796">
        <v>783</v>
      </c>
      <c r="B796" t="s">
        <v>2244</v>
      </c>
      <c r="C796" t="s">
        <v>2245</v>
      </c>
      <c r="D796" t="s">
        <v>1779</v>
      </c>
      <c r="E796" t="s">
        <v>2246</v>
      </c>
      <c r="F796">
        <v>72.06</v>
      </c>
      <c r="G796" t="s">
        <v>1781</v>
      </c>
      <c r="H796" t="s">
        <v>14</v>
      </c>
      <c r="I796" s="26"/>
    </row>
    <row r="797" spans="1:9" x14ac:dyDescent="0.2">
      <c r="A797">
        <v>784</v>
      </c>
      <c r="B797" t="s">
        <v>2247</v>
      </c>
      <c r="C797" t="s">
        <v>2248</v>
      </c>
      <c r="D797" t="s">
        <v>1779</v>
      </c>
      <c r="E797" t="s">
        <v>2249</v>
      </c>
      <c r="F797">
        <v>128.44999999999999</v>
      </c>
      <c r="G797" t="s">
        <v>1781</v>
      </c>
      <c r="H797" t="s">
        <v>14</v>
      </c>
      <c r="I797" s="26"/>
    </row>
    <row r="798" spans="1:9" x14ac:dyDescent="0.2">
      <c r="A798">
        <v>785</v>
      </c>
      <c r="B798" t="s">
        <v>2250</v>
      </c>
      <c r="C798" t="s">
        <v>2251</v>
      </c>
      <c r="D798" t="s">
        <v>1091</v>
      </c>
      <c r="E798" t="s">
        <v>2252</v>
      </c>
      <c r="F798">
        <v>2150.79</v>
      </c>
      <c r="G798" t="s">
        <v>1093</v>
      </c>
      <c r="H798" t="s">
        <v>14</v>
      </c>
      <c r="I798" s="26"/>
    </row>
    <row r="799" spans="1:9" x14ac:dyDescent="0.2">
      <c r="A799">
        <v>786</v>
      </c>
      <c r="B799" t="s">
        <v>2253</v>
      </c>
      <c r="C799" t="s">
        <v>2254</v>
      </c>
      <c r="D799" t="s">
        <v>1091</v>
      </c>
      <c r="E799" t="s">
        <v>2255</v>
      </c>
      <c r="F799">
        <v>51.63</v>
      </c>
      <c r="G799" t="s">
        <v>1093</v>
      </c>
      <c r="H799" t="s">
        <v>14</v>
      </c>
      <c r="I799" s="26"/>
    </row>
    <row r="800" spans="1:9" x14ac:dyDescent="0.2">
      <c r="A800">
        <v>787</v>
      </c>
      <c r="B800" t="s">
        <v>2256</v>
      </c>
      <c r="C800" t="s">
        <v>2257</v>
      </c>
      <c r="D800" t="s">
        <v>1779</v>
      </c>
      <c r="E800" t="s">
        <v>2220</v>
      </c>
      <c r="F800">
        <v>62.08</v>
      </c>
      <c r="G800" t="s">
        <v>1781</v>
      </c>
      <c r="H800" t="s">
        <v>14</v>
      </c>
      <c r="I800" s="26"/>
    </row>
    <row r="801" spans="1:9" x14ac:dyDescent="0.2">
      <c r="A801">
        <v>788</v>
      </c>
      <c r="B801" t="s">
        <v>2258</v>
      </c>
      <c r="C801" t="s">
        <v>2259</v>
      </c>
      <c r="D801" t="s">
        <v>1779</v>
      </c>
      <c r="E801" t="s">
        <v>2223</v>
      </c>
      <c r="F801">
        <v>9.7200000000000006</v>
      </c>
      <c r="G801" t="s">
        <v>1781</v>
      </c>
      <c r="H801" t="s">
        <v>14</v>
      </c>
      <c r="I801" s="26"/>
    </row>
    <row r="802" spans="1:9" x14ac:dyDescent="0.2">
      <c r="A802">
        <v>789</v>
      </c>
      <c r="B802" t="s">
        <v>2260</v>
      </c>
      <c r="C802" t="s">
        <v>2261</v>
      </c>
      <c r="D802" t="s">
        <v>2103</v>
      </c>
      <c r="E802" t="s">
        <v>2226</v>
      </c>
      <c r="F802">
        <v>103.2</v>
      </c>
      <c r="G802" t="s">
        <v>2105</v>
      </c>
      <c r="H802" t="s">
        <v>14</v>
      </c>
      <c r="I802" s="26">
        <v>42305</v>
      </c>
    </row>
    <row r="803" spans="1:9" x14ac:dyDescent="0.2">
      <c r="A803">
        <v>790</v>
      </c>
      <c r="B803" t="s">
        <v>2262</v>
      </c>
      <c r="C803" t="s">
        <v>2263</v>
      </c>
      <c r="D803" t="s">
        <v>706</v>
      </c>
      <c r="E803" t="s">
        <v>2264</v>
      </c>
      <c r="F803">
        <v>67.8</v>
      </c>
      <c r="G803" t="s">
        <v>708</v>
      </c>
      <c r="H803" t="s">
        <v>14</v>
      </c>
      <c r="I803" s="26"/>
    </row>
    <row r="804" spans="1:9" x14ac:dyDescent="0.2">
      <c r="A804">
        <v>791</v>
      </c>
      <c r="B804" t="s">
        <v>2265</v>
      </c>
      <c r="C804" t="s">
        <v>2266</v>
      </c>
      <c r="D804" t="s">
        <v>1620</v>
      </c>
      <c r="E804" t="s">
        <v>2267</v>
      </c>
      <c r="F804">
        <v>117.86</v>
      </c>
      <c r="G804" t="s">
        <v>1622</v>
      </c>
      <c r="H804" t="s">
        <v>14</v>
      </c>
      <c r="I804" s="26">
        <v>42305</v>
      </c>
    </row>
    <row r="805" spans="1:9" x14ac:dyDescent="0.2">
      <c r="A805">
        <v>792</v>
      </c>
      <c r="B805" t="s">
        <v>2268</v>
      </c>
      <c r="C805" t="s">
        <v>2269</v>
      </c>
      <c r="D805" t="s">
        <v>508</v>
      </c>
      <c r="E805" t="s">
        <v>2270</v>
      </c>
      <c r="F805">
        <v>36.68</v>
      </c>
      <c r="G805" t="s">
        <v>510</v>
      </c>
      <c r="H805" t="s">
        <v>14</v>
      </c>
      <c r="I805" s="26"/>
    </row>
    <row r="806" spans="1:9" x14ac:dyDescent="0.2">
      <c r="A806">
        <v>793</v>
      </c>
      <c r="B806" t="s">
        <v>2271</v>
      </c>
      <c r="C806" t="s">
        <v>2272</v>
      </c>
      <c r="D806" t="s">
        <v>508</v>
      </c>
      <c r="E806" t="s">
        <v>2273</v>
      </c>
      <c r="F806">
        <v>17.48</v>
      </c>
      <c r="G806" t="s">
        <v>510</v>
      </c>
      <c r="H806" t="s">
        <v>14</v>
      </c>
      <c r="I806" s="26"/>
    </row>
    <row r="807" spans="1:9" x14ac:dyDescent="0.2">
      <c r="A807">
        <v>794</v>
      </c>
      <c r="B807" t="s">
        <v>2274</v>
      </c>
      <c r="C807" t="s">
        <v>2275</v>
      </c>
      <c r="D807" t="s">
        <v>1779</v>
      </c>
      <c r="E807" t="s">
        <v>2276</v>
      </c>
      <c r="G807" t="s">
        <v>1781</v>
      </c>
      <c r="H807" t="s">
        <v>14</v>
      </c>
      <c r="I807" s="26"/>
    </row>
    <row r="808" spans="1:9" x14ac:dyDescent="0.2">
      <c r="A808">
        <v>795</v>
      </c>
      <c r="B808" t="s">
        <v>2277</v>
      </c>
      <c r="C808" t="s">
        <v>2278</v>
      </c>
      <c r="D808" t="s">
        <v>1779</v>
      </c>
      <c r="E808" t="s">
        <v>2279</v>
      </c>
      <c r="G808" t="s">
        <v>1781</v>
      </c>
      <c r="H808" t="s">
        <v>14</v>
      </c>
      <c r="I808" s="26"/>
    </row>
    <row r="809" spans="1:9" x14ac:dyDescent="0.2">
      <c r="A809">
        <v>796</v>
      </c>
      <c r="B809" t="s">
        <v>2280</v>
      </c>
      <c r="C809" t="s">
        <v>2281</v>
      </c>
      <c r="D809" t="s">
        <v>754</v>
      </c>
      <c r="E809" t="s">
        <v>2282</v>
      </c>
      <c r="F809">
        <v>2455.8000000000002</v>
      </c>
      <c r="G809" t="s">
        <v>756</v>
      </c>
      <c r="H809" t="s">
        <v>14</v>
      </c>
      <c r="I809" s="26"/>
    </row>
    <row r="810" spans="1:9" x14ac:dyDescent="0.2">
      <c r="A810">
        <v>797</v>
      </c>
      <c r="B810" t="s">
        <v>2283</v>
      </c>
      <c r="C810" t="s">
        <v>2284</v>
      </c>
      <c r="D810" t="s">
        <v>2103</v>
      </c>
      <c r="E810" t="s">
        <v>2285</v>
      </c>
      <c r="F810">
        <v>100.8</v>
      </c>
      <c r="G810" t="s">
        <v>2105</v>
      </c>
      <c r="H810" t="s">
        <v>14</v>
      </c>
      <c r="I810" s="26"/>
    </row>
    <row r="811" spans="1:9" x14ac:dyDescent="0.2">
      <c r="A811">
        <v>798</v>
      </c>
      <c r="B811" t="s">
        <v>2286</v>
      </c>
      <c r="C811" t="s">
        <v>2287</v>
      </c>
      <c r="D811" t="s">
        <v>2288</v>
      </c>
      <c r="E811" t="s">
        <v>2289</v>
      </c>
      <c r="F811">
        <v>4475</v>
      </c>
      <c r="G811" t="s">
        <v>2290</v>
      </c>
      <c r="H811" t="s">
        <v>14</v>
      </c>
      <c r="I811" s="26"/>
    </row>
    <row r="812" spans="1:9" x14ac:dyDescent="0.2">
      <c r="A812">
        <v>799</v>
      </c>
      <c r="B812" t="s">
        <v>2291</v>
      </c>
      <c r="C812" t="s">
        <v>2292</v>
      </c>
      <c r="D812" t="s">
        <v>2293</v>
      </c>
      <c r="E812" t="s">
        <v>2291</v>
      </c>
      <c r="F812">
        <v>295</v>
      </c>
      <c r="G812" t="s">
        <v>2294</v>
      </c>
      <c r="H812" t="s">
        <v>14</v>
      </c>
      <c r="I812" s="26"/>
    </row>
    <row r="813" spans="1:9" x14ac:dyDescent="0.2">
      <c r="A813">
        <v>800</v>
      </c>
      <c r="B813" t="s">
        <v>2295</v>
      </c>
      <c r="C813" t="s">
        <v>2296</v>
      </c>
      <c r="D813" t="s">
        <v>2293</v>
      </c>
      <c r="E813" t="s">
        <v>2295</v>
      </c>
      <c r="F813">
        <v>265</v>
      </c>
      <c r="G813" t="s">
        <v>2294</v>
      </c>
      <c r="H813" t="s">
        <v>14</v>
      </c>
      <c r="I813" s="26"/>
    </row>
    <row r="814" spans="1:9" x14ac:dyDescent="0.2">
      <c r="A814">
        <v>801</v>
      </c>
      <c r="B814" t="s">
        <v>2297</v>
      </c>
      <c r="C814" t="s">
        <v>2298</v>
      </c>
      <c r="D814" t="s">
        <v>2293</v>
      </c>
      <c r="E814" t="s">
        <v>2297</v>
      </c>
      <c r="F814">
        <v>425</v>
      </c>
      <c r="G814" t="s">
        <v>2294</v>
      </c>
      <c r="H814" t="s">
        <v>14</v>
      </c>
      <c r="I814" s="26"/>
    </row>
    <row r="815" spans="1:9" x14ac:dyDescent="0.2">
      <c r="A815">
        <v>802</v>
      </c>
      <c r="B815" t="s">
        <v>2299</v>
      </c>
      <c r="C815" t="s">
        <v>2300</v>
      </c>
      <c r="D815" t="s">
        <v>1708</v>
      </c>
      <c r="E815" t="s">
        <v>2301</v>
      </c>
      <c r="F815">
        <v>2.52</v>
      </c>
      <c r="G815" t="s">
        <v>1710</v>
      </c>
      <c r="H815" t="s">
        <v>14</v>
      </c>
      <c r="I815" s="26">
        <v>42523</v>
      </c>
    </row>
    <row r="816" spans="1:9" x14ac:dyDescent="0.2">
      <c r="A816">
        <v>803</v>
      </c>
      <c r="B816" t="s">
        <v>2302</v>
      </c>
      <c r="C816" t="s">
        <v>2303</v>
      </c>
      <c r="D816" t="s">
        <v>2304</v>
      </c>
      <c r="E816" t="s">
        <v>2305</v>
      </c>
      <c r="F816">
        <v>0.49</v>
      </c>
      <c r="G816" t="s">
        <v>2306</v>
      </c>
      <c r="H816" t="s">
        <v>14</v>
      </c>
      <c r="I816" s="26"/>
    </row>
    <row r="817" spans="1:9" x14ac:dyDescent="0.2">
      <c r="A817">
        <v>804</v>
      </c>
      <c r="B817" t="s">
        <v>2307</v>
      </c>
      <c r="C817" t="s">
        <v>2308</v>
      </c>
      <c r="D817" t="s">
        <v>1206</v>
      </c>
      <c r="E817" t="s">
        <v>2309</v>
      </c>
      <c r="F817">
        <v>12.31</v>
      </c>
      <c r="G817" t="s">
        <v>1208</v>
      </c>
      <c r="H817" t="s">
        <v>14</v>
      </c>
      <c r="I817" s="26"/>
    </row>
    <row r="818" spans="1:9" x14ac:dyDescent="0.2">
      <c r="A818">
        <v>805</v>
      </c>
      <c r="B818" t="s">
        <v>2310</v>
      </c>
      <c r="C818" t="s">
        <v>2311</v>
      </c>
      <c r="D818" t="s">
        <v>1206</v>
      </c>
      <c r="E818" t="s">
        <v>2312</v>
      </c>
      <c r="F818">
        <v>13.62</v>
      </c>
      <c r="G818" t="s">
        <v>1208</v>
      </c>
      <c r="H818" t="s">
        <v>14</v>
      </c>
      <c r="I818" s="26"/>
    </row>
    <row r="819" spans="1:9" x14ac:dyDescent="0.2">
      <c r="A819">
        <v>806</v>
      </c>
      <c r="B819" t="s">
        <v>2313</v>
      </c>
      <c r="C819" t="s">
        <v>2314</v>
      </c>
      <c r="D819" t="s">
        <v>1633</v>
      </c>
      <c r="E819" t="s">
        <v>2315</v>
      </c>
      <c r="F819">
        <v>45.02</v>
      </c>
      <c r="G819" t="s">
        <v>1635</v>
      </c>
      <c r="H819" t="s">
        <v>14</v>
      </c>
      <c r="I819" s="26"/>
    </row>
    <row r="820" spans="1:9" x14ac:dyDescent="0.2">
      <c r="A820">
        <v>807</v>
      </c>
      <c r="B820" t="s">
        <v>2316</v>
      </c>
      <c r="C820" t="s">
        <v>2317</v>
      </c>
      <c r="D820" t="s">
        <v>1633</v>
      </c>
      <c r="E820" t="s">
        <v>2318</v>
      </c>
      <c r="F820">
        <v>124.96</v>
      </c>
      <c r="G820" t="s">
        <v>1635</v>
      </c>
      <c r="H820" t="s">
        <v>14</v>
      </c>
      <c r="I820" s="26"/>
    </row>
    <row r="821" spans="1:9" x14ac:dyDescent="0.2">
      <c r="A821">
        <v>808</v>
      </c>
      <c r="B821" t="s">
        <v>2319</v>
      </c>
      <c r="C821" t="s">
        <v>2320</v>
      </c>
      <c r="D821" t="s">
        <v>1633</v>
      </c>
      <c r="E821" t="s">
        <v>2321</v>
      </c>
      <c r="F821">
        <v>116.13</v>
      </c>
      <c r="G821" t="s">
        <v>1635</v>
      </c>
      <c r="H821" t="s">
        <v>14</v>
      </c>
      <c r="I821" s="26"/>
    </row>
    <row r="822" spans="1:9" x14ac:dyDescent="0.2">
      <c r="A822">
        <v>809</v>
      </c>
      <c r="B822" t="s">
        <v>2322</v>
      </c>
      <c r="C822" t="s">
        <v>2323</v>
      </c>
      <c r="D822" t="s">
        <v>1447</v>
      </c>
      <c r="E822" t="s">
        <v>2324</v>
      </c>
      <c r="F822">
        <v>66.7</v>
      </c>
      <c r="G822" t="s">
        <v>1449</v>
      </c>
      <c r="H822" t="s">
        <v>14</v>
      </c>
      <c r="I822" s="26"/>
    </row>
    <row r="823" spans="1:9" x14ac:dyDescent="0.2">
      <c r="A823">
        <v>810</v>
      </c>
      <c r="B823" t="s">
        <v>2325</v>
      </c>
      <c r="C823" t="s">
        <v>2326</v>
      </c>
      <c r="D823" t="s">
        <v>1447</v>
      </c>
      <c r="E823" t="s">
        <v>2327</v>
      </c>
      <c r="F823">
        <v>66.239999999999995</v>
      </c>
      <c r="G823" t="s">
        <v>1449</v>
      </c>
      <c r="H823" t="s">
        <v>14</v>
      </c>
      <c r="I823" s="26"/>
    </row>
    <row r="824" spans="1:9" x14ac:dyDescent="0.2">
      <c r="A824">
        <v>811</v>
      </c>
      <c r="B824" t="s">
        <v>2328</v>
      </c>
      <c r="C824" t="s">
        <v>2329</v>
      </c>
      <c r="D824" t="s">
        <v>1447</v>
      </c>
      <c r="E824" t="s">
        <v>2330</v>
      </c>
      <c r="F824">
        <v>46</v>
      </c>
      <c r="G824" t="s">
        <v>1449</v>
      </c>
      <c r="H824" t="s">
        <v>14</v>
      </c>
      <c r="I824" s="26"/>
    </row>
    <row r="825" spans="1:9" x14ac:dyDescent="0.2">
      <c r="A825">
        <v>812</v>
      </c>
      <c r="B825" t="s">
        <v>2331</v>
      </c>
      <c r="C825" t="s">
        <v>2332</v>
      </c>
      <c r="D825" t="s">
        <v>1447</v>
      </c>
      <c r="E825" t="s">
        <v>2333</v>
      </c>
      <c r="F825">
        <v>105.8</v>
      </c>
      <c r="G825" t="s">
        <v>1449</v>
      </c>
      <c r="H825" t="s">
        <v>14</v>
      </c>
      <c r="I825" s="26"/>
    </row>
    <row r="826" spans="1:9" x14ac:dyDescent="0.2">
      <c r="A826">
        <v>813</v>
      </c>
      <c r="B826" t="s">
        <v>2334</v>
      </c>
      <c r="C826" t="s">
        <v>2314</v>
      </c>
      <c r="D826" t="s">
        <v>1206</v>
      </c>
      <c r="E826" t="s">
        <v>2335</v>
      </c>
      <c r="F826">
        <v>22.43</v>
      </c>
      <c r="G826" t="s">
        <v>1208</v>
      </c>
      <c r="H826" t="s">
        <v>14</v>
      </c>
      <c r="I826" s="26"/>
    </row>
    <row r="827" spans="1:9" x14ac:dyDescent="0.2">
      <c r="A827">
        <v>814</v>
      </c>
      <c r="B827" t="s">
        <v>2336</v>
      </c>
      <c r="C827" t="s">
        <v>2337</v>
      </c>
      <c r="D827" t="s">
        <v>706</v>
      </c>
      <c r="E827" t="s">
        <v>2338</v>
      </c>
      <c r="F827">
        <v>52.44</v>
      </c>
      <c r="G827" t="s">
        <v>708</v>
      </c>
      <c r="H827" t="s">
        <v>14</v>
      </c>
      <c r="I827" s="26"/>
    </row>
    <row r="828" spans="1:9" x14ac:dyDescent="0.2">
      <c r="A828">
        <v>815</v>
      </c>
      <c r="B828" t="s">
        <v>2339</v>
      </c>
      <c r="C828" t="s">
        <v>2340</v>
      </c>
      <c r="D828" t="s">
        <v>4561</v>
      </c>
      <c r="E828" t="s">
        <v>2341</v>
      </c>
      <c r="F828">
        <v>138.5</v>
      </c>
      <c r="G828" t="s">
        <v>1761</v>
      </c>
      <c r="H828" t="s">
        <v>14</v>
      </c>
      <c r="I828" s="26"/>
    </row>
    <row r="829" spans="1:9" x14ac:dyDescent="0.2">
      <c r="A829">
        <v>816</v>
      </c>
      <c r="B829" t="s">
        <v>2342</v>
      </c>
      <c r="C829" t="s">
        <v>2343</v>
      </c>
      <c r="D829" t="s">
        <v>1447</v>
      </c>
      <c r="E829" t="s">
        <v>2344</v>
      </c>
      <c r="F829">
        <v>20.7</v>
      </c>
      <c r="G829" t="s">
        <v>1449</v>
      </c>
      <c r="H829" t="s">
        <v>14</v>
      </c>
      <c r="I829" s="26"/>
    </row>
    <row r="830" spans="1:9" x14ac:dyDescent="0.2">
      <c r="A830">
        <v>817</v>
      </c>
      <c r="B830" t="s">
        <v>2345</v>
      </c>
      <c r="C830" t="s">
        <v>2346</v>
      </c>
      <c r="D830" t="s">
        <v>2347</v>
      </c>
      <c r="E830" t="s">
        <v>2348</v>
      </c>
      <c r="F830">
        <v>52.85</v>
      </c>
      <c r="G830" t="s">
        <v>2349</v>
      </c>
      <c r="H830" t="s">
        <v>14</v>
      </c>
      <c r="I830" s="26"/>
    </row>
    <row r="831" spans="1:9" x14ac:dyDescent="0.2">
      <c r="A831">
        <v>818</v>
      </c>
      <c r="B831" t="s">
        <v>2350</v>
      </c>
      <c r="C831" t="s">
        <v>2351</v>
      </c>
      <c r="D831" t="s">
        <v>1779</v>
      </c>
      <c r="E831" t="s">
        <v>2352</v>
      </c>
      <c r="F831">
        <v>11</v>
      </c>
      <c r="G831" t="s">
        <v>1781</v>
      </c>
      <c r="H831" t="s">
        <v>14</v>
      </c>
      <c r="I831" s="26"/>
    </row>
    <row r="832" spans="1:9" x14ac:dyDescent="0.2">
      <c r="A832">
        <v>819</v>
      </c>
      <c r="B832" t="s">
        <v>2353</v>
      </c>
      <c r="C832" t="s">
        <v>2354</v>
      </c>
      <c r="D832" t="s">
        <v>2355</v>
      </c>
      <c r="E832" t="s">
        <v>2353</v>
      </c>
      <c r="F832">
        <v>16.75</v>
      </c>
      <c r="G832" t="s">
        <v>2356</v>
      </c>
      <c r="H832" t="s">
        <v>14</v>
      </c>
      <c r="I832" s="26"/>
    </row>
    <row r="833" spans="1:9" x14ac:dyDescent="0.2">
      <c r="A833">
        <v>820</v>
      </c>
      <c r="B833" t="s">
        <v>2357</v>
      </c>
      <c r="C833" t="s">
        <v>2358</v>
      </c>
      <c r="D833" t="s">
        <v>1447</v>
      </c>
      <c r="E833" t="s">
        <v>2359</v>
      </c>
      <c r="F833">
        <v>27.14</v>
      </c>
      <c r="G833" t="s">
        <v>1449</v>
      </c>
      <c r="H833" t="s">
        <v>14</v>
      </c>
      <c r="I833" s="26"/>
    </row>
    <row r="834" spans="1:9" x14ac:dyDescent="0.2">
      <c r="A834">
        <v>821</v>
      </c>
      <c r="B834" t="s">
        <v>2360</v>
      </c>
      <c r="C834" t="s">
        <v>2337</v>
      </c>
      <c r="D834" t="s">
        <v>706</v>
      </c>
      <c r="E834" t="s">
        <v>2338</v>
      </c>
      <c r="G834" t="s">
        <v>708</v>
      </c>
      <c r="H834" t="s">
        <v>14</v>
      </c>
      <c r="I834" s="26"/>
    </row>
    <row r="835" spans="1:9" x14ac:dyDescent="0.2">
      <c r="A835">
        <v>822</v>
      </c>
      <c r="B835" t="s">
        <v>2361</v>
      </c>
      <c r="C835" t="s">
        <v>2362</v>
      </c>
      <c r="D835" t="s">
        <v>1779</v>
      </c>
      <c r="E835" t="s">
        <v>2363</v>
      </c>
      <c r="F835">
        <v>33.619999999999997</v>
      </c>
      <c r="G835" t="s">
        <v>1781</v>
      </c>
      <c r="H835" t="s">
        <v>14</v>
      </c>
      <c r="I835" s="26"/>
    </row>
    <row r="836" spans="1:9" x14ac:dyDescent="0.2">
      <c r="A836">
        <v>823</v>
      </c>
      <c r="B836" t="s">
        <v>2364</v>
      </c>
      <c r="C836" t="s">
        <v>2365</v>
      </c>
      <c r="D836" t="s">
        <v>1779</v>
      </c>
      <c r="E836" t="s">
        <v>2366</v>
      </c>
      <c r="F836">
        <v>5.92</v>
      </c>
      <c r="G836" t="s">
        <v>1781</v>
      </c>
      <c r="H836" t="s">
        <v>14</v>
      </c>
      <c r="I836" s="26"/>
    </row>
    <row r="837" spans="1:9" x14ac:dyDescent="0.2">
      <c r="A837">
        <v>824</v>
      </c>
      <c r="B837" t="s">
        <v>2367</v>
      </c>
      <c r="C837" t="s">
        <v>2368</v>
      </c>
      <c r="D837" t="s">
        <v>1447</v>
      </c>
      <c r="E837" t="s">
        <v>2369</v>
      </c>
      <c r="F837">
        <v>111.32</v>
      </c>
      <c r="G837" t="s">
        <v>1449</v>
      </c>
      <c r="H837" t="s">
        <v>14</v>
      </c>
      <c r="I837" s="26"/>
    </row>
    <row r="838" spans="1:9" x14ac:dyDescent="0.2">
      <c r="A838">
        <v>825</v>
      </c>
      <c r="B838" t="s">
        <v>2370</v>
      </c>
      <c r="C838" t="s">
        <v>2371</v>
      </c>
      <c r="D838" t="s">
        <v>2355</v>
      </c>
      <c r="E838" t="s">
        <v>2370</v>
      </c>
      <c r="F838">
        <v>12.5</v>
      </c>
      <c r="G838" t="s">
        <v>2356</v>
      </c>
      <c r="H838" t="s">
        <v>14</v>
      </c>
      <c r="I838" s="26"/>
    </row>
    <row r="839" spans="1:9" x14ac:dyDescent="0.2">
      <c r="A839">
        <v>826</v>
      </c>
      <c r="B839" t="s">
        <v>2372</v>
      </c>
      <c r="C839" t="s">
        <v>2373</v>
      </c>
      <c r="D839" t="s">
        <v>1628</v>
      </c>
      <c r="E839" t="s">
        <v>2374</v>
      </c>
      <c r="F839">
        <v>2.11</v>
      </c>
      <c r="G839" t="s">
        <v>1630</v>
      </c>
      <c r="H839" t="s">
        <v>14</v>
      </c>
      <c r="I839" s="26">
        <v>42305</v>
      </c>
    </row>
    <row r="840" spans="1:9" x14ac:dyDescent="0.2">
      <c r="A840">
        <v>827</v>
      </c>
      <c r="B840" t="s">
        <v>2375</v>
      </c>
      <c r="C840" t="s">
        <v>2376</v>
      </c>
      <c r="D840" t="s">
        <v>1633</v>
      </c>
      <c r="E840" t="s">
        <v>2377</v>
      </c>
      <c r="F840">
        <v>4.5663999999999998</v>
      </c>
      <c r="G840" t="s">
        <v>1635</v>
      </c>
      <c r="H840" t="s">
        <v>14</v>
      </c>
      <c r="I840" s="26">
        <v>42305</v>
      </c>
    </row>
    <row r="841" spans="1:9" x14ac:dyDescent="0.2">
      <c r="A841">
        <v>828</v>
      </c>
      <c r="B841" t="s">
        <v>2378</v>
      </c>
      <c r="C841" t="s">
        <v>2379</v>
      </c>
      <c r="D841" t="s">
        <v>4563</v>
      </c>
      <c r="E841" t="s">
        <v>2380</v>
      </c>
      <c r="F841">
        <v>7.8390000000000004</v>
      </c>
      <c r="G841" t="s">
        <v>2381</v>
      </c>
      <c r="H841" t="s">
        <v>14</v>
      </c>
      <c r="I841" s="26">
        <v>42306</v>
      </c>
    </row>
    <row r="842" spans="1:9" x14ac:dyDescent="0.2">
      <c r="A842">
        <v>829</v>
      </c>
      <c r="B842" t="s">
        <v>2382</v>
      </c>
      <c r="C842" t="s">
        <v>2383</v>
      </c>
      <c r="D842" t="s">
        <v>1628</v>
      </c>
      <c r="E842" t="s">
        <v>2384</v>
      </c>
      <c r="F842">
        <v>4.1900000000000004</v>
      </c>
      <c r="G842" t="s">
        <v>1630</v>
      </c>
      <c r="H842" t="s">
        <v>14</v>
      </c>
      <c r="I842" s="26">
        <v>42418</v>
      </c>
    </row>
    <row r="843" spans="1:9" x14ac:dyDescent="0.2">
      <c r="A843">
        <v>830</v>
      </c>
      <c r="B843" t="s">
        <v>2385</v>
      </c>
      <c r="C843" t="s">
        <v>2386</v>
      </c>
      <c r="D843" t="s">
        <v>1628</v>
      </c>
      <c r="E843" t="s">
        <v>2387</v>
      </c>
      <c r="F843">
        <v>6.3449999999999998</v>
      </c>
      <c r="G843" t="s">
        <v>1630</v>
      </c>
      <c r="H843" t="s">
        <v>14</v>
      </c>
      <c r="I843" s="26">
        <v>42419</v>
      </c>
    </row>
    <row r="844" spans="1:9" x14ac:dyDescent="0.2">
      <c r="A844">
        <v>831</v>
      </c>
      <c r="B844" t="s">
        <v>2388</v>
      </c>
      <c r="C844" t="s">
        <v>2389</v>
      </c>
      <c r="D844" t="s">
        <v>2347</v>
      </c>
      <c r="E844" t="s">
        <v>2390</v>
      </c>
      <c r="F844">
        <v>9.39</v>
      </c>
      <c r="G844" t="s">
        <v>2349</v>
      </c>
      <c r="H844" t="s">
        <v>14</v>
      </c>
      <c r="I844" s="26"/>
    </row>
    <row r="845" spans="1:9" x14ac:dyDescent="0.2">
      <c r="A845">
        <v>832</v>
      </c>
      <c r="B845" t="s">
        <v>2391</v>
      </c>
      <c r="C845" t="s">
        <v>2392</v>
      </c>
      <c r="D845" t="s">
        <v>2103</v>
      </c>
      <c r="E845" t="s">
        <v>2393</v>
      </c>
      <c r="F845">
        <v>125.4</v>
      </c>
      <c r="G845" t="s">
        <v>2105</v>
      </c>
      <c r="H845" t="s">
        <v>14</v>
      </c>
      <c r="I845" s="26"/>
    </row>
    <row r="846" spans="1:9" x14ac:dyDescent="0.2">
      <c r="A846">
        <v>833</v>
      </c>
      <c r="B846" t="s">
        <v>2394</v>
      </c>
      <c r="C846" t="s">
        <v>2395</v>
      </c>
      <c r="D846" t="s">
        <v>2103</v>
      </c>
      <c r="E846" t="s">
        <v>2396</v>
      </c>
      <c r="F846">
        <v>279.61</v>
      </c>
      <c r="G846" t="s">
        <v>2105</v>
      </c>
      <c r="H846" t="s">
        <v>14</v>
      </c>
      <c r="I846" s="26"/>
    </row>
    <row r="847" spans="1:9" x14ac:dyDescent="0.2">
      <c r="A847">
        <v>834</v>
      </c>
      <c r="B847" t="s">
        <v>2397</v>
      </c>
      <c r="C847" t="s">
        <v>2395</v>
      </c>
      <c r="D847" t="s">
        <v>14</v>
      </c>
      <c r="E847" t="s">
        <v>14</v>
      </c>
      <c r="G847" t="s">
        <v>2398</v>
      </c>
      <c r="H847" t="s">
        <v>14</v>
      </c>
      <c r="I847" s="26"/>
    </row>
    <row r="848" spans="1:9" x14ac:dyDescent="0.2">
      <c r="A848">
        <v>835</v>
      </c>
      <c r="B848" t="s">
        <v>2399</v>
      </c>
      <c r="C848" t="s">
        <v>2400</v>
      </c>
      <c r="D848" t="s">
        <v>2347</v>
      </c>
      <c r="E848" t="s">
        <v>2401</v>
      </c>
      <c r="G848" t="s">
        <v>2349</v>
      </c>
      <c r="H848" t="s">
        <v>14</v>
      </c>
      <c r="I848" s="26"/>
    </row>
    <row r="849" spans="1:9" x14ac:dyDescent="0.2">
      <c r="A849">
        <v>836</v>
      </c>
      <c r="B849" t="s">
        <v>2402</v>
      </c>
      <c r="C849" t="s">
        <v>2403</v>
      </c>
      <c r="D849" t="s">
        <v>2404</v>
      </c>
      <c r="E849" t="s">
        <v>2405</v>
      </c>
      <c r="F849">
        <v>71.67</v>
      </c>
      <c r="G849" t="s">
        <v>2406</v>
      </c>
      <c r="H849" t="s">
        <v>14</v>
      </c>
      <c r="I849" s="26"/>
    </row>
    <row r="850" spans="1:9" x14ac:dyDescent="0.2">
      <c r="A850">
        <v>837</v>
      </c>
      <c r="B850" t="s">
        <v>2407</v>
      </c>
      <c r="C850" t="s">
        <v>2408</v>
      </c>
      <c r="D850" t="s">
        <v>1719</v>
      </c>
      <c r="E850" t="s">
        <v>2407</v>
      </c>
      <c r="F850">
        <v>18.149999999999999</v>
      </c>
      <c r="G850" t="s">
        <v>1721</v>
      </c>
      <c r="H850" t="s">
        <v>14</v>
      </c>
      <c r="I850" s="26"/>
    </row>
    <row r="851" spans="1:9" x14ac:dyDescent="0.2">
      <c r="A851">
        <v>838</v>
      </c>
      <c r="B851" t="s">
        <v>2409</v>
      </c>
      <c r="C851" t="s">
        <v>2410</v>
      </c>
      <c r="D851" t="s">
        <v>1091</v>
      </c>
      <c r="E851" t="s">
        <v>2411</v>
      </c>
      <c r="F851">
        <v>133.9</v>
      </c>
      <c r="G851" t="s">
        <v>1093</v>
      </c>
      <c r="H851" t="s">
        <v>14</v>
      </c>
      <c r="I851" s="26"/>
    </row>
    <row r="852" spans="1:9" x14ac:dyDescent="0.2">
      <c r="A852">
        <v>839</v>
      </c>
      <c r="B852" t="s">
        <v>2412</v>
      </c>
      <c r="C852" t="s">
        <v>2413</v>
      </c>
      <c r="D852" t="s">
        <v>1779</v>
      </c>
      <c r="E852" t="s">
        <v>2414</v>
      </c>
      <c r="F852">
        <v>29.66</v>
      </c>
      <c r="G852" t="s">
        <v>1781</v>
      </c>
      <c r="H852" t="s">
        <v>14</v>
      </c>
      <c r="I852" s="26"/>
    </row>
    <row r="853" spans="1:9" x14ac:dyDescent="0.2">
      <c r="A853">
        <v>840</v>
      </c>
      <c r="B853" t="s">
        <v>2415</v>
      </c>
      <c r="C853" t="s">
        <v>2416</v>
      </c>
      <c r="D853" t="s">
        <v>1779</v>
      </c>
      <c r="E853" t="s">
        <v>2417</v>
      </c>
      <c r="F853">
        <v>59.46</v>
      </c>
      <c r="G853" t="s">
        <v>1781</v>
      </c>
      <c r="H853" t="s">
        <v>14</v>
      </c>
      <c r="I853" s="26"/>
    </row>
    <row r="854" spans="1:9" x14ac:dyDescent="0.2">
      <c r="A854">
        <v>841</v>
      </c>
      <c r="B854" t="s">
        <v>2418</v>
      </c>
      <c r="C854" t="s">
        <v>2419</v>
      </c>
      <c r="D854" t="s">
        <v>4564</v>
      </c>
      <c r="E854" t="s">
        <v>2418</v>
      </c>
      <c r="F854">
        <v>60</v>
      </c>
      <c r="G854" t="s">
        <v>2420</v>
      </c>
      <c r="H854" t="s">
        <v>14</v>
      </c>
      <c r="I854" s="26"/>
    </row>
    <row r="855" spans="1:9" x14ac:dyDescent="0.2">
      <c r="A855">
        <v>842</v>
      </c>
      <c r="B855" t="s">
        <v>2421</v>
      </c>
      <c r="C855" t="s">
        <v>2422</v>
      </c>
      <c r="D855" t="s">
        <v>2355</v>
      </c>
      <c r="E855" t="s">
        <v>2421</v>
      </c>
      <c r="F855">
        <v>23.75</v>
      </c>
      <c r="G855" t="s">
        <v>2356</v>
      </c>
      <c r="H855" t="s">
        <v>14</v>
      </c>
      <c r="I855" s="26"/>
    </row>
    <row r="856" spans="1:9" x14ac:dyDescent="0.2">
      <c r="A856">
        <v>843</v>
      </c>
      <c r="B856" t="s">
        <v>2423</v>
      </c>
      <c r="C856" t="s">
        <v>2424</v>
      </c>
      <c r="D856" t="s">
        <v>2425</v>
      </c>
      <c r="E856" t="s">
        <v>2426</v>
      </c>
      <c r="F856">
        <v>24.85</v>
      </c>
      <c r="G856" t="s">
        <v>2427</v>
      </c>
      <c r="H856" t="s">
        <v>14</v>
      </c>
      <c r="I856" s="26"/>
    </row>
    <row r="857" spans="1:9" x14ac:dyDescent="0.2">
      <c r="A857">
        <v>844</v>
      </c>
      <c r="B857" t="s">
        <v>2428</v>
      </c>
      <c r="C857" t="s">
        <v>2429</v>
      </c>
      <c r="D857" t="s">
        <v>2425</v>
      </c>
      <c r="E857" t="s">
        <v>2430</v>
      </c>
      <c r="F857">
        <v>19.25</v>
      </c>
      <c r="G857" t="s">
        <v>2427</v>
      </c>
      <c r="H857" t="s">
        <v>14</v>
      </c>
      <c r="I857" s="26"/>
    </row>
    <row r="858" spans="1:9" x14ac:dyDescent="0.2">
      <c r="A858">
        <v>845</v>
      </c>
      <c r="B858" t="s">
        <v>2431</v>
      </c>
      <c r="C858" t="s">
        <v>2432</v>
      </c>
      <c r="D858" t="s">
        <v>2433</v>
      </c>
      <c r="E858" t="s">
        <v>2431</v>
      </c>
      <c r="F858">
        <v>5.05</v>
      </c>
      <c r="G858" t="s">
        <v>2434</v>
      </c>
      <c r="H858" t="s">
        <v>14</v>
      </c>
      <c r="I858" s="26"/>
    </row>
    <row r="859" spans="1:9" x14ac:dyDescent="0.2">
      <c r="A859">
        <v>846</v>
      </c>
      <c r="B859" t="s">
        <v>2435</v>
      </c>
      <c r="C859" t="s">
        <v>2436</v>
      </c>
      <c r="D859" t="s">
        <v>2433</v>
      </c>
      <c r="E859" t="s">
        <v>2437</v>
      </c>
      <c r="F859">
        <v>5.35</v>
      </c>
      <c r="G859" t="s">
        <v>2434</v>
      </c>
      <c r="H859" t="s">
        <v>14</v>
      </c>
      <c r="I859" s="26"/>
    </row>
    <row r="860" spans="1:9" x14ac:dyDescent="0.2">
      <c r="A860">
        <v>847</v>
      </c>
      <c r="B860" t="s">
        <v>2438</v>
      </c>
      <c r="C860" t="s">
        <v>2439</v>
      </c>
      <c r="D860" t="s">
        <v>2433</v>
      </c>
      <c r="E860" t="s">
        <v>2440</v>
      </c>
      <c r="F860">
        <v>0.97</v>
      </c>
      <c r="G860" t="s">
        <v>2434</v>
      </c>
      <c r="H860" t="s">
        <v>14</v>
      </c>
      <c r="I860" s="26"/>
    </row>
    <row r="861" spans="1:9" x14ac:dyDescent="0.2">
      <c r="A861">
        <v>848</v>
      </c>
      <c r="B861" t="s">
        <v>2441</v>
      </c>
      <c r="C861" t="s">
        <v>2442</v>
      </c>
      <c r="D861" t="s">
        <v>2433</v>
      </c>
      <c r="E861" t="s">
        <v>2443</v>
      </c>
      <c r="F861">
        <v>1.46</v>
      </c>
      <c r="G861" t="s">
        <v>2434</v>
      </c>
      <c r="H861" t="s">
        <v>14</v>
      </c>
      <c r="I861" s="26"/>
    </row>
    <row r="862" spans="1:9" x14ac:dyDescent="0.2">
      <c r="A862">
        <v>849</v>
      </c>
      <c r="B862" t="s">
        <v>2444</v>
      </c>
      <c r="C862" t="s">
        <v>2445</v>
      </c>
      <c r="D862" t="s">
        <v>2433</v>
      </c>
      <c r="E862" t="s">
        <v>2444</v>
      </c>
      <c r="G862" t="s">
        <v>2434</v>
      </c>
      <c r="H862" t="s">
        <v>14</v>
      </c>
      <c r="I862" s="26"/>
    </row>
    <row r="863" spans="1:9" x14ac:dyDescent="0.2">
      <c r="A863">
        <v>850</v>
      </c>
      <c r="B863" t="s">
        <v>2446</v>
      </c>
      <c r="C863" t="s">
        <v>2447</v>
      </c>
      <c r="D863" t="s">
        <v>2355</v>
      </c>
      <c r="E863" t="s">
        <v>2446</v>
      </c>
      <c r="F863">
        <v>25.15</v>
      </c>
      <c r="G863" t="s">
        <v>2356</v>
      </c>
      <c r="H863" t="s">
        <v>14</v>
      </c>
      <c r="I863" s="26"/>
    </row>
    <row r="864" spans="1:9" x14ac:dyDescent="0.2">
      <c r="A864">
        <v>851</v>
      </c>
      <c r="B864" t="s">
        <v>2448</v>
      </c>
      <c r="C864" t="s">
        <v>2449</v>
      </c>
      <c r="D864" t="s">
        <v>2450</v>
      </c>
      <c r="E864" t="s">
        <v>2451</v>
      </c>
      <c r="F864">
        <v>59.34</v>
      </c>
      <c r="G864" t="s">
        <v>2452</v>
      </c>
      <c r="H864" t="s">
        <v>14</v>
      </c>
      <c r="I864" s="26"/>
    </row>
    <row r="865" spans="1:9" x14ac:dyDescent="0.2">
      <c r="A865">
        <v>852</v>
      </c>
      <c r="B865" t="s">
        <v>2453</v>
      </c>
      <c r="C865" t="s">
        <v>2454</v>
      </c>
      <c r="D865" t="s">
        <v>2450</v>
      </c>
      <c r="E865" t="s">
        <v>2455</v>
      </c>
      <c r="F865">
        <v>59.34</v>
      </c>
      <c r="G865" t="s">
        <v>2452</v>
      </c>
      <c r="H865" t="s">
        <v>14</v>
      </c>
      <c r="I865" s="26"/>
    </row>
    <row r="866" spans="1:9" x14ac:dyDescent="0.2">
      <c r="A866">
        <v>853</v>
      </c>
      <c r="B866" t="s">
        <v>2456</v>
      </c>
      <c r="C866" t="s">
        <v>2457</v>
      </c>
      <c r="D866" t="s">
        <v>1628</v>
      </c>
      <c r="E866" t="s">
        <v>2458</v>
      </c>
      <c r="F866">
        <v>0.57999999999999996</v>
      </c>
      <c r="G866" t="s">
        <v>1630</v>
      </c>
      <c r="H866" t="s">
        <v>14</v>
      </c>
      <c r="I866" s="26">
        <v>42421</v>
      </c>
    </row>
    <row r="867" spans="1:9" x14ac:dyDescent="0.2">
      <c r="A867">
        <v>854</v>
      </c>
      <c r="B867" t="s">
        <v>2459</v>
      </c>
      <c r="C867" t="s">
        <v>2460</v>
      </c>
      <c r="D867" t="s">
        <v>1628</v>
      </c>
      <c r="E867" t="s">
        <v>2461</v>
      </c>
      <c r="F867">
        <v>1.1808000000000001</v>
      </c>
      <c r="G867" t="s">
        <v>1630</v>
      </c>
      <c r="H867" t="s">
        <v>14</v>
      </c>
      <c r="I867" s="26">
        <v>42422</v>
      </c>
    </row>
    <row r="868" spans="1:9" x14ac:dyDescent="0.2">
      <c r="A868">
        <v>855</v>
      </c>
      <c r="B868" t="s">
        <v>2462</v>
      </c>
      <c r="C868" t="s">
        <v>2463</v>
      </c>
      <c r="D868" t="s">
        <v>1719</v>
      </c>
      <c r="E868" t="s">
        <v>2464</v>
      </c>
      <c r="F868">
        <v>16.43</v>
      </c>
      <c r="G868" t="s">
        <v>1721</v>
      </c>
      <c r="H868" t="s">
        <v>14</v>
      </c>
      <c r="I868" s="26"/>
    </row>
    <row r="869" spans="1:9" x14ac:dyDescent="0.2">
      <c r="A869">
        <v>856</v>
      </c>
      <c r="B869" t="s">
        <v>2465</v>
      </c>
      <c r="C869" t="s">
        <v>2466</v>
      </c>
      <c r="D869" t="s">
        <v>1628</v>
      </c>
      <c r="E869" t="s">
        <v>2467</v>
      </c>
      <c r="F869">
        <v>17.07</v>
      </c>
      <c r="G869" t="s">
        <v>1630</v>
      </c>
      <c r="H869" t="s">
        <v>14</v>
      </c>
      <c r="I869" s="26">
        <v>43025</v>
      </c>
    </row>
    <row r="870" spans="1:9" x14ac:dyDescent="0.2">
      <c r="A870">
        <v>857</v>
      </c>
      <c r="B870" t="s">
        <v>2468</v>
      </c>
      <c r="C870" t="s">
        <v>2469</v>
      </c>
      <c r="D870" t="s">
        <v>1719</v>
      </c>
      <c r="E870" t="s">
        <v>2470</v>
      </c>
      <c r="F870">
        <v>21.25</v>
      </c>
      <c r="G870" t="s">
        <v>1721</v>
      </c>
      <c r="H870" t="s">
        <v>14</v>
      </c>
      <c r="I870" s="26"/>
    </row>
    <row r="871" spans="1:9" x14ac:dyDescent="0.2">
      <c r="A871">
        <v>858</v>
      </c>
      <c r="B871" t="s">
        <v>2471</v>
      </c>
      <c r="C871" t="s">
        <v>2472</v>
      </c>
      <c r="D871" t="s">
        <v>1719</v>
      </c>
      <c r="E871" t="s">
        <v>2473</v>
      </c>
      <c r="F871">
        <v>50.42</v>
      </c>
      <c r="G871" t="s">
        <v>1721</v>
      </c>
      <c r="H871" t="s">
        <v>14</v>
      </c>
      <c r="I871" s="26"/>
    </row>
    <row r="872" spans="1:9" x14ac:dyDescent="0.2">
      <c r="A872">
        <v>859</v>
      </c>
      <c r="B872" t="s">
        <v>2474</v>
      </c>
      <c r="C872" t="s">
        <v>2475</v>
      </c>
      <c r="D872" t="s">
        <v>1206</v>
      </c>
      <c r="E872" t="s">
        <v>2476</v>
      </c>
      <c r="F872">
        <v>90.04</v>
      </c>
      <c r="G872" t="s">
        <v>1208</v>
      </c>
      <c r="H872" t="s">
        <v>14</v>
      </c>
      <c r="I872" s="26">
        <v>42996</v>
      </c>
    </row>
    <row r="873" spans="1:9" x14ac:dyDescent="0.2">
      <c r="A873">
        <v>860</v>
      </c>
      <c r="B873" t="s">
        <v>2477</v>
      </c>
      <c r="C873" t="s">
        <v>2478</v>
      </c>
      <c r="D873" t="s">
        <v>118</v>
      </c>
      <c r="E873" t="s">
        <v>2479</v>
      </c>
      <c r="F873">
        <v>939</v>
      </c>
      <c r="G873" t="s">
        <v>120</v>
      </c>
      <c r="H873" t="s">
        <v>14</v>
      </c>
      <c r="I873" s="26"/>
    </row>
    <row r="874" spans="1:9" x14ac:dyDescent="0.2">
      <c r="A874">
        <v>861</v>
      </c>
      <c r="B874" t="s">
        <v>2480</v>
      </c>
      <c r="C874" t="s">
        <v>2481</v>
      </c>
      <c r="D874" t="s">
        <v>40</v>
      </c>
      <c r="E874" t="s">
        <v>2482</v>
      </c>
      <c r="F874">
        <v>805.98</v>
      </c>
      <c r="G874" t="s">
        <v>42</v>
      </c>
      <c r="H874" t="s">
        <v>14</v>
      </c>
      <c r="I874" s="26">
        <v>43200</v>
      </c>
    </row>
    <row r="875" spans="1:9" x14ac:dyDescent="0.2">
      <c r="A875">
        <v>862</v>
      </c>
      <c r="B875" t="s">
        <v>2483</v>
      </c>
      <c r="C875" t="s">
        <v>2484</v>
      </c>
      <c r="D875" t="s">
        <v>40</v>
      </c>
      <c r="E875" t="s">
        <v>2485</v>
      </c>
      <c r="F875">
        <v>0</v>
      </c>
      <c r="G875" t="s">
        <v>42</v>
      </c>
      <c r="H875" t="s">
        <v>14</v>
      </c>
      <c r="I875" s="26">
        <v>42433</v>
      </c>
    </row>
    <row r="876" spans="1:9" x14ac:dyDescent="0.2">
      <c r="A876">
        <v>863</v>
      </c>
      <c r="B876" t="s">
        <v>2486</v>
      </c>
      <c r="C876" t="s">
        <v>2487</v>
      </c>
      <c r="D876" t="s">
        <v>40</v>
      </c>
      <c r="E876" t="s">
        <v>2488</v>
      </c>
      <c r="F876">
        <v>0</v>
      </c>
      <c r="G876" t="s">
        <v>42</v>
      </c>
      <c r="H876" t="s">
        <v>14</v>
      </c>
      <c r="I876" s="26">
        <v>42433</v>
      </c>
    </row>
    <row r="877" spans="1:9" x14ac:dyDescent="0.2">
      <c r="A877">
        <v>864</v>
      </c>
      <c r="B877" t="s">
        <v>2489</v>
      </c>
      <c r="C877" t="s">
        <v>2490</v>
      </c>
      <c r="D877" t="s">
        <v>40</v>
      </c>
      <c r="E877" t="s">
        <v>2491</v>
      </c>
      <c r="F877">
        <v>0</v>
      </c>
      <c r="G877" t="s">
        <v>42</v>
      </c>
      <c r="H877" t="s">
        <v>14</v>
      </c>
      <c r="I877" s="26">
        <v>42433</v>
      </c>
    </row>
    <row r="878" spans="1:9" x14ac:dyDescent="0.2">
      <c r="A878">
        <v>865</v>
      </c>
      <c r="B878" t="s">
        <v>2492</v>
      </c>
      <c r="C878" t="s">
        <v>29</v>
      </c>
      <c r="D878" t="s">
        <v>40</v>
      </c>
      <c r="E878" t="s">
        <v>2493</v>
      </c>
      <c r="F878">
        <v>0</v>
      </c>
      <c r="G878" t="s">
        <v>42</v>
      </c>
      <c r="H878" t="s">
        <v>14</v>
      </c>
      <c r="I878" s="26">
        <v>42433</v>
      </c>
    </row>
    <row r="879" spans="1:9" x14ac:dyDescent="0.2">
      <c r="A879">
        <v>866</v>
      </c>
      <c r="B879" t="s">
        <v>2494</v>
      </c>
      <c r="C879" t="s">
        <v>2495</v>
      </c>
      <c r="D879" t="s">
        <v>40</v>
      </c>
      <c r="E879" t="s">
        <v>2496</v>
      </c>
      <c r="F879">
        <v>0</v>
      </c>
      <c r="G879" t="s">
        <v>42</v>
      </c>
      <c r="H879" t="s">
        <v>14</v>
      </c>
      <c r="I879" s="26">
        <v>42433</v>
      </c>
    </row>
    <row r="880" spans="1:9" x14ac:dyDescent="0.2">
      <c r="A880">
        <v>867</v>
      </c>
      <c r="B880" t="s">
        <v>2497</v>
      </c>
      <c r="C880" t="s">
        <v>2498</v>
      </c>
      <c r="D880" t="s">
        <v>40</v>
      </c>
      <c r="E880" t="s">
        <v>2499</v>
      </c>
      <c r="F880">
        <v>0</v>
      </c>
      <c r="G880" t="s">
        <v>42</v>
      </c>
      <c r="H880" t="s">
        <v>14</v>
      </c>
      <c r="I880" s="26">
        <v>42433</v>
      </c>
    </row>
    <row r="881" spans="1:9" x14ac:dyDescent="0.2">
      <c r="A881">
        <v>868</v>
      </c>
      <c r="B881" t="s">
        <v>2500</v>
      </c>
      <c r="C881" t="s">
        <v>2501</v>
      </c>
      <c r="D881" t="s">
        <v>40</v>
      </c>
      <c r="E881" t="s">
        <v>2502</v>
      </c>
      <c r="F881">
        <v>0</v>
      </c>
      <c r="G881" t="s">
        <v>42</v>
      </c>
      <c r="H881" t="s">
        <v>14</v>
      </c>
      <c r="I881" s="26">
        <v>42433</v>
      </c>
    </row>
    <row r="882" spans="1:9" x14ac:dyDescent="0.2">
      <c r="A882">
        <v>869</v>
      </c>
      <c r="B882" t="s">
        <v>2503</v>
      </c>
      <c r="C882" t="s">
        <v>2504</v>
      </c>
      <c r="D882" t="s">
        <v>40</v>
      </c>
      <c r="E882" t="s">
        <v>2505</v>
      </c>
      <c r="F882">
        <v>0</v>
      </c>
      <c r="G882" t="s">
        <v>42</v>
      </c>
      <c r="H882" t="s">
        <v>14</v>
      </c>
      <c r="I882" s="26">
        <v>42433</v>
      </c>
    </row>
    <row r="883" spans="1:9" x14ac:dyDescent="0.2">
      <c r="A883">
        <v>870</v>
      </c>
      <c r="B883" t="s">
        <v>2506</v>
      </c>
      <c r="C883" t="s">
        <v>2507</v>
      </c>
      <c r="D883" t="s">
        <v>40</v>
      </c>
      <c r="E883" t="s">
        <v>2508</v>
      </c>
      <c r="F883">
        <v>0</v>
      </c>
      <c r="G883" t="s">
        <v>42</v>
      </c>
      <c r="H883" t="s">
        <v>14</v>
      </c>
      <c r="I883" s="26">
        <v>42433</v>
      </c>
    </row>
    <row r="884" spans="1:9" x14ac:dyDescent="0.2">
      <c r="A884">
        <v>871</v>
      </c>
      <c r="B884" t="s">
        <v>2509</v>
      </c>
      <c r="C884" t="s">
        <v>2510</v>
      </c>
      <c r="D884" t="s">
        <v>40</v>
      </c>
      <c r="E884" t="s">
        <v>2511</v>
      </c>
      <c r="F884">
        <v>644.34</v>
      </c>
      <c r="G884" t="s">
        <v>42</v>
      </c>
      <c r="H884" t="s">
        <v>14</v>
      </c>
      <c r="I884" s="26">
        <v>43200</v>
      </c>
    </row>
    <row r="885" spans="1:9" x14ac:dyDescent="0.2">
      <c r="A885">
        <v>872</v>
      </c>
      <c r="B885" t="s">
        <v>2512</v>
      </c>
      <c r="C885" t="s">
        <v>2513</v>
      </c>
      <c r="D885" t="s">
        <v>118</v>
      </c>
      <c r="E885" t="s">
        <v>2514</v>
      </c>
      <c r="F885">
        <v>2360</v>
      </c>
      <c r="G885" t="s">
        <v>120</v>
      </c>
      <c r="H885" t="s">
        <v>14</v>
      </c>
      <c r="I885" s="26">
        <v>43200</v>
      </c>
    </row>
    <row r="886" spans="1:9" x14ac:dyDescent="0.2">
      <c r="A886">
        <v>873</v>
      </c>
      <c r="B886" t="s">
        <v>2515</v>
      </c>
      <c r="C886" t="s">
        <v>2516</v>
      </c>
      <c r="D886" t="s">
        <v>40</v>
      </c>
      <c r="E886" t="s">
        <v>2517</v>
      </c>
      <c r="F886">
        <v>592.34</v>
      </c>
      <c r="G886" t="s">
        <v>42</v>
      </c>
      <c r="H886" t="s">
        <v>14</v>
      </c>
      <c r="I886" s="26">
        <v>43200</v>
      </c>
    </row>
    <row r="887" spans="1:9" x14ac:dyDescent="0.2">
      <c r="A887">
        <v>874</v>
      </c>
      <c r="B887" t="s">
        <v>2518</v>
      </c>
      <c r="C887" t="s">
        <v>2519</v>
      </c>
      <c r="D887" t="s">
        <v>40</v>
      </c>
      <c r="E887" t="s">
        <v>2520</v>
      </c>
      <c r="F887">
        <v>0</v>
      </c>
      <c r="G887" t="s">
        <v>42</v>
      </c>
      <c r="H887" t="s">
        <v>14</v>
      </c>
      <c r="I887" s="26"/>
    </row>
    <row r="888" spans="1:9" x14ac:dyDescent="0.2">
      <c r="A888">
        <v>875</v>
      </c>
      <c r="B888" t="s">
        <v>2521</v>
      </c>
      <c r="C888" t="s">
        <v>277</v>
      </c>
      <c r="D888" t="s">
        <v>40</v>
      </c>
      <c r="E888" t="s">
        <v>2522</v>
      </c>
      <c r="F888">
        <v>0</v>
      </c>
      <c r="G888" t="s">
        <v>42</v>
      </c>
      <c r="H888" t="s">
        <v>14</v>
      </c>
      <c r="I888" s="26"/>
    </row>
    <row r="889" spans="1:9" x14ac:dyDescent="0.2">
      <c r="A889">
        <v>876</v>
      </c>
      <c r="B889" t="s">
        <v>2523</v>
      </c>
      <c r="C889" t="s">
        <v>2524</v>
      </c>
      <c r="D889" t="s">
        <v>118</v>
      </c>
      <c r="E889" t="s">
        <v>2525</v>
      </c>
      <c r="F889">
        <v>1463</v>
      </c>
      <c r="G889" t="s">
        <v>120</v>
      </c>
      <c r="H889" t="s">
        <v>14</v>
      </c>
      <c r="I889" s="26">
        <v>43200</v>
      </c>
    </row>
    <row r="890" spans="1:9" x14ac:dyDescent="0.2">
      <c r="A890">
        <v>877</v>
      </c>
      <c r="B890" t="s">
        <v>2526</v>
      </c>
      <c r="C890" t="s">
        <v>2527</v>
      </c>
      <c r="D890" t="s">
        <v>40</v>
      </c>
      <c r="E890" t="s">
        <v>2528</v>
      </c>
      <c r="F890">
        <v>846.08</v>
      </c>
      <c r="G890" t="s">
        <v>42</v>
      </c>
      <c r="H890" t="s">
        <v>14</v>
      </c>
      <c r="I890" s="26">
        <v>43200</v>
      </c>
    </row>
    <row r="891" spans="1:9" x14ac:dyDescent="0.2">
      <c r="A891">
        <v>878</v>
      </c>
      <c r="B891" t="s">
        <v>2529</v>
      </c>
      <c r="C891" t="s">
        <v>2530</v>
      </c>
      <c r="D891" t="s">
        <v>415</v>
      </c>
      <c r="E891" t="s">
        <v>2531</v>
      </c>
      <c r="F891">
        <v>1141.68</v>
      </c>
      <c r="G891" t="s">
        <v>417</v>
      </c>
      <c r="H891" t="s">
        <v>14</v>
      </c>
      <c r="I891" s="26">
        <v>43200</v>
      </c>
    </row>
    <row r="892" spans="1:9" x14ac:dyDescent="0.2">
      <c r="A892">
        <v>879</v>
      </c>
      <c r="B892" t="s">
        <v>2532</v>
      </c>
      <c r="C892" t="s">
        <v>2533</v>
      </c>
      <c r="D892" t="s">
        <v>118</v>
      </c>
      <c r="E892" t="s">
        <v>2534</v>
      </c>
      <c r="F892">
        <v>721</v>
      </c>
      <c r="G892" t="s">
        <v>120</v>
      </c>
      <c r="H892" t="s">
        <v>14</v>
      </c>
      <c r="I892" s="26">
        <v>43200</v>
      </c>
    </row>
    <row r="893" spans="1:9" x14ac:dyDescent="0.2">
      <c r="A893">
        <v>880</v>
      </c>
      <c r="B893" t="s">
        <v>2535</v>
      </c>
      <c r="C893" t="s">
        <v>2536</v>
      </c>
      <c r="D893" t="s">
        <v>4558</v>
      </c>
      <c r="E893" t="s">
        <v>2537</v>
      </c>
      <c r="F893">
        <v>0.94</v>
      </c>
      <c r="G893" t="s">
        <v>610</v>
      </c>
      <c r="H893" t="s">
        <v>14</v>
      </c>
      <c r="I893" s="26"/>
    </row>
    <row r="894" spans="1:9" x14ac:dyDescent="0.2">
      <c r="A894">
        <v>881</v>
      </c>
      <c r="B894" t="s">
        <v>2538</v>
      </c>
      <c r="C894" t="s">
        <v>2539</v>
      </c>
      <c r="D894" t="s">
        <v>4558</v>
      </c>
      <c r="E894" t="s">
        <v>2540</v>
      </c>
      <c r="F894">
        <v>0.62</v>
      </c>
      <c r="G894" t="s">
        <v>610</v>
      </c>
      <c r="H894" t="s">
        <v>14</v>
      </c>
      <c r="I894" s="26"/>
    </row>
    <row r="895" spans="1:9" x14ac:dyDescent="0.2">
      <c r="A895">
        <v>882</v>
      </c>
      <c r="B895" t="s">
        <v>2541</v>
      </c>
      <c r="C895" t="s">
        <v>2542</v>
      </c>
      <c r="D895" t="s">
        <v>2543</v>
      </c>
      <c r="E895" t="s">
        <v>2544</v>
      </c>
      <c r="F895">
        <v>1.5569999999999999</v>
      </c>
      <c r="G895" t="s">
        <v>2545</v>
      </c>
      <c r="H895" t="s">
        <v>14</v>
      </c>
      <c r="I895" s="26"/>
    </row>
    <row r="896" spans="1:9" x14ac:dyDescent="0.2">
      <c r="A896">
        <v>883</v>
      </c>
      <c r="B896" t="s">
        <v>2546</v>
      </c>
      <c r="C896" t="s">
        <v>2547</v>
      </c>
      <c r="D896" t="s">
        <v>2548</v>
      </c>
      <c r="E896" t="s">
        <v>2549</v>
      </c>
      <c r="F896">
        <v>0.47099999999999997</v>
      </c>
      <c r="G896" t="s">
        <v>2550</v>
      </c>
      <c r="H896" t="s">
        <v>14</v>
      </c>
      <c r="I896" s="26"/>
    </row>
    <row r="897" spans="1:9" x14ac:dyDescent="0.2">
      <c r="A897">
        <v>884</v>
      </c>
      <c r="B897" t="s">
        <v>2551</v>
      </c>
      <c r="C897" t="s">
        <v>2552</v>
      </c>
      <c r="D897" t="s">
        <v>4558</v>
      </c>
      <c r="E897" t="s">
        <v>2553</v>
      </c>
      <c r="F897">
        <v>0.32</v>
      </c>
      <c r="G897" t="s">
        <v>610</v>
      </c>
      <c r="H897" t="s">
        <v>14</v>
      </c>
      <c r="I897" s="26"/>
    </row>
    <row r="898" spans="1:9" x14ac:dyDescent="0.2">
      <c r="A898">
        <v>885</v>
      </c>
      <c r="B898" t="s">
        <v>2554</v>
      </c>
      <c r="C898" t="s">
        <v>2555</v>
      </c>
      <c r="D898" t="s">
        <v>4558</v>
      </c>
      <c r="E898" t="s">
        <v>2556</v>
      </c>
      <c r="F898">
        <v>0.64</v>
      </c>
      <c r="G898" t="s">
        <v>610</v>
      </c>
      <c r="H898" t="s">
        <v>14</v>
      </c>
      <c r="I898" s="26">
        <v>42339</v>
      </c>
    </row>
    <row r="899" spans="1:9" x14ac:dyDescent="0.2">
      <c r="A899">
        <v>886</v>
      </c>
      <c r="B899" t="s">
        <v>2557</v>
      </c>
      <c r="C899" t="s">
        <v>2558</v>
      </c>
      <c r="D899" t="s">
        <v>4558</v>
      </c>
      <c r="E899" t="s">
        <v>2559</v>
      </c>
      <c r="F899">
        <v>4.8499999999999996</v>
      </c>
      <c r="G899" t="s">
        <v>610</v>
      </c>
      <c r="H899" t="s">
        <v>14</v>
      </c>
      <c r="I899" s="26">
        <v>42933</v>
      </c>
    </row>
    <row r="900" spans="1:9" x14ac:dyDescent="0.2">
      <c r="A900">
        <v>887</v>
      </c>
      <c r="B900" t="s">
        <v>2560</v>
      </c>
      <c r="C900" t="s">
        <v>2561</v>
      </c>
      <c r="D900" t="s">
        <v>4558</v>
      </c>
      <c r="E900" t="s">
        <v>2562</v>
      </c>
      <c r="F900">
        <v>0.6</v>
      </c>
      <c r="G900" t="s">
        <v>610</v>
      </c>
      <c r="H900" t="s">
        <v>14</v>
      </c>
      <c r="I900" s="26">
        <v>42339</v>
      </c>
    </row>
    <row r="901" spans="1:9" x14ac:dyDescent="0.2">
      <c r="A901">
        <v>888</v>
      </c>
      <c r="B901" t="s">
        <v>2563</v>
      </c>
      <c r="C901" t="s">
        <v>2564</v>
      </c>
      <c r="D901" t="s">
        <v>4558</v>
      </c>
      <c r="E901" t="s">
        <v>2565</v>
      </c>
      <c r="F901">
        <v>3.85</v>
      </c>
      <c r="G901" t="s">
        <v>610</v>
      </c>
      <c r="H901" t="s">
        <v>14</v>
      </c>
      <c r="I901" s="26">
        <v>42297</v>
      </c>
    </row>
    <row r="902" spans="1:9" x14ac:dyDescent="0.2">
      <c r="A902">
        <v>889</v>
      </c>
      <c r="B902" t="s">
        <v>2566</v>
      </c>
      <c r="C902" t="s">
        <v>2567</v>
      </c>
      <c r="D902" t="s">
        <v>4558</v>
      </c>
      <c r="E902" t="s">
        <v>2568</v>
      </c>
      <c r="F902">
        <v>1.64</v>
      </c>
      <c r="G902" t="s">
        <v>610</v>
      </c>
      <c r="H902" t="s">
        <v>14</v>
      </c>
      <c r="I902" s="26"/>
    </row>
    <row r="903" spans="1:9" x14ac:dyDescent="0.2">
      <c r="A903">
        <v>890</v>
      </c>
      <c r="B903" t="s">
        <v>2569</v>
      </c>
      <c r="C903" t="s">
        <v>2570</v>
      </c>
      <c r="D903" t="s">
        <v>4558</v>
      </c>
      <c r="E903" t="s">
        <v>2571</v>
      </c>
      <c r="F903">
        <v>5.42</v>
      </c>
      <c r="G903" t="s">
        <v>610</v>
      </c>
      <c r="H903" t="s">
        <v>14</v>
      </c>
      <c r="I903" s="26">
        <v>42297</v>
      </c>
    </row>
    <row r="904" spans="1:9" x14ac:dyDescent="0.2">
      <c r="A904">
        <v>891</v>
      </c>
      <c r="B904" t="s">
        <v>2572</v>
      </c>
      <c r="C904" t="s">
        <v>2573</v>
      </c>
      <c r="D904" t="s">
        <v>4558</v>
      </c>
      <c r="E904" t="s">
        <v>2574</v>
      </c>
      <c r="F904">
        <v>0.61</v>
      </c>
      <c r="G904" t="s">
        <v>610</v>
      </c>
      <c r="H904" t="s">
        <v>14</v>
      </c>
      <c r="I904" s="26">
        <v>43025</v>
      </c>
    </row>
    <row r="905" spans="1:9" x14ac:dyDescent="0.2">
      <c r="A905">
        <v>892</v>
      </c>
      <c r="B905" t="s">
        <v>2575</v>
      </c>
      <c r="C905" t="s">
        <v>2576</v>
      </c>
      <c r="D905" t="s">
        <v>4558</v>
      </c>
      <c r="E905" t="s">
        <v>2577</v>
      </c>
      <c r="F905">
        <v>0.82</v>
      </c>
      <c r="G905" t="s">
        <v>610</v>
      </c>
      <c r="H905" t="s">
        <v>14</v>
      </c>
      <c r="I905" s="26">
        <v>43025</v>
      </c>
    </row>
    <row r="906" spans="1:9" x14ac:dyDescent="0.2">
      <c r="A906">
        <v>893</v>
      </c>
      <c r="B906" t="s">
        <v>2578</v>
      </c>
      <c r="C906" t="s">
        <v>2579</v>
      </c>
      <c r="D906" t="s">
        <v>4558</v>
      </c>
      <c r="E906" t="s">
        <v>2580</v>
      </c>
      <c r="F906">
        <v>1.8</v>
      </c>
      <c r="G906" t="s">
        <v>610</v>
      </c>
      <c r="H906" t="s">
        <v>14</v>
      </c>
      <c r="I906" s="26">
        <v>43025</v>
      </c>
    </row>
    <row r="907" spans="1:9" x14ac:dyDescent="0.2">
      <c r="A907">
        <v>894</v>
      </c>
      <c r="B907" t="s">
        <v>2581</v>
      </c>
      <c r="C907" t="s">
        <v>2582</v>
      </c>
      <c r="D907" t="s">
        <v>4558</v>
      </c>
      <c r="E907" t="s">
        <v>2583</v>
      </c>
      <c r="F907">
        <v>0.66</v>
      </c>
      <c r="G907" t="s">
        <v>610</v>
      </c>
      <c r="H907" t="s">
        <v>14</v>
      </c>
      <c r="I907" s="26">
        <v>42933</v>
      </c>
    </row>
    <row r="908" spans="1:9" x14ac:dyDescent="0.2">
      <c r="A908">
        <v>895</v>
      </c>
      <c r="B908" t="s">
        <v>2584</v>
      </c>
      <c r="C908" t="s">
        <v>2585</v>
      </c>
      <c r="D908" t="s">
        <v>4558</v>
      </c>
      <c r="E908" t="s">
        <v>2586</v>
      </c>
      <c r="F908">
        <v>4.62</v>
      </c>
      <c r="G908" t="s">
        <v>610</v>
      </c>
      <c r="H908" t="s">
        <v>14</v>
      </c>
      <c r="I908" s="26"/>
    </row>
    <row r="909" spans="1:9" x14ac:dyDescent="0.2">
      <c r="A909">
        <v>896</v>
      </c>
      <c r="B909" t="s">
        <v>2587</v>
      </c>
      <c r="C909" t="s">
        <v>2588</v>
      </c>
      <c r="D909" t="s">
        <v>4558</v>
      </c>
      <c r="E909" t="s">
        <v>2589</v>
      </c>
      <c r="F909">
        <v>4.55</v>
      </c>
      <c r="G909" t="s">
        <v>610</v>
      </c>
      <c r="H909" t="s">
        <v>14</v>
      </c>
      <c r="I909" s="26"/>
    </row>
    <row r="910" spans="1:9" x14ac:dyDescent="0.2">
      <c r="A910">
        <v>897</v>
      </c>
      <c r="B910" t="s">
        <v>2590</v>
      </c>
      <c r="C910" t="s">
        <v>2591</v>
      </c>
      <c r="D910" t="s">
        <v>4558</v>
      </c>
      <c r="E910" t="s">
        <v>2592</v>
      </c>
      <c r="F910">
        <v>0.75</v>
      </c>
      <c r="G910" t="s">
        <v>610</v>
      </c>
      <c r="H910" t="s">
        <v>14</v>
      </c>
      <c r="I910" s="26">
        <v>42933</v>
      </c>
    </row>
    <row r="911" spans="1:9" x14ac:dyDescent="0.2">
      <c r="A911">
        <v>898</v>
      </c>
      <c r="B911" t="s">
        <v>2593</v>
      </c>
      <c r="C911" t="s">
        <v>2594</v>
      </c>
      <c r="D911" t="s">
        <v>4558</v>
      </c>
      <c r="E911" t="s">
        <v>2595</v>
      </c>
      <c r="F911">
        <v>0.83</v>
      </c>
      <c r="G911" t="s">
        <v>610</v>
      </c>
      <c r="H911" t="s">
        <v>14</v>
      </c>
      <c r="I911" s="26"/>
    </row>
    <row r="912" spans="1:9" x14ac:dyDescent="0.2">
      <c r="A912">
        <v>899</v>
      </c>
      <c r="B912" t="s">
        <v>2596</v>
      </c>
      <c r="C912" t="s">
        <v>2597</v>
      </c>
      <c r="D912" t="s">
        <v>4558</v>
      </c>
      <c r="E912" t="s">
        <v>2598</v>
      </c>
      <c r="F912">
        <v>17.46</v>
      </c>
      <c r="G912" t="s">
        <v>610</v>
      </c>
      <c r="H912" t="s">
        <v>14</v>
      </c>
      <c r="I912" s="26"/>
    </row>
    <row r="913" spans="1:9" x14ac:dyDescent="0.2">
      <c r="A913">
        <v>900</v>
      </c>
      <c r="B913" t="s">
        <v>2599</v>
      </c>
      <c r="C913" t="s">
        <v>2600</v>
      </c>
      <c r="D913" t="s">
        <v>4558</v>
      </c>
      <c r="E913" t="s">
        <v>2601</v>
      </c>
      <c r="F913">
        <v>1.98</v>
      </c>
      <c r="G913" t="s">
        <v>610</v>
      </c>
      <c r="H913" t="s">
        <v>14</v>
      </c>
      <c r="I913" s="26"/>
    </row>
    <row r="914" spans="1:9" x14ac:dyDescent="0.2">
      <c r="A914">
        <v>901</v>
      </c>
      <c r="B914" t="s">
        <v>2602</v>
      </c>
      <c r="C914" t="s">
        <v>2603</v>
      </c>
      <c r="D914" t="s">
        <v>4558</v>
      </c>
      <c r="E914" t="s">
        <v>2604</v>
      </c>
      <c r="F914">
        <v>2.79</v>
      </c>
      <c r="G914" t="s">
        <v>610</v>
      </c>
      <c r="H914" t="s">
        <v>14</v>
      </c>
      <c r="I914" s="26">
        <v>42419</v>
      </c>
    </row>
    <row r="915" spans="1:9" x14ac:dyDescent="0.2">
      <c r="A915">
        <v>902</v>
      </c>
      <c r="B915" t="s">
        <v>2605</v>
      </c>
      <c r="C915" t="s">
        <v>2606</v>
      </c>
      <c r="D915" t="s">
        <v>4558</v>
      </c>
      <c r="E915" t="s">
        <v>2607</v>
      </c>
      <c r="F915">
        <v>2.17</v>
      </c>
      <c r="G915" t="s">
        <v>610</v>
      </c>
      <c r="H915" t="s">
        <v>14</v>
      </c>
      <c r="I915" s="26"/>
    </row>
    <row r="916" spans="1:9" x14ac:dyDescent="0.2">
      <c r="A916">
        <v>903</v>
      </c>
      <c r="B916" t="s">
        <v>2608</v>
      </c>
      <c r="C916" t="s">
        <v>2609</v>
      </c>
      <c r="D916" t="s">
        <v>4558</v>
      </c>
      <c r="E916" t="s">
        <v>2610</v>
      </c>
      <c r="F916">
        <v>1.2592000000000001</v>
      </c>
      <c r="G916" t="s">
        <v>610</v>
      </c>
      <c r="H916" t="s">
        <v>14</v>
      </c>
      <c r="I916" s="26"/>
    </row>
    <row r="917" spans="1:9" x14ac:dyDescent="0.2">
      <c r="A917">
        <v>904</v>
      </c>
      <c r="B917" t="s">
        <v>2611</v>
      </c>
      <c r="C917" t="s">
        <v>2612</v>
      </c>
      <c r="D917" t="s">
        <v>4558</v>
      </c>
      <c r="E917" t="s">
        <v>2613</v>
      </c>
      <c r="F917">
        <v>1.1399999999999999</v>
      </c>
      <c r="G917" t="s">
        <v>610</v>
      </c>
      <c r="H917" t="s">
        <v>14</v>
      </c>
      <c r="I917" s="26">
        <v>42933</v>
      </c>
    </row>
    <row r="918" spans="1:9" x14ac:dyDescent="0.2">
      <c r="A918">
        <v>905</v>
      </c>
      <c r="B918" t="s">
        <v>2614</v>
      </c>
      <c r="C918" t="s">
        <v>2615</v>
      </c>
      <c r="D918" t="s">
        <v>4558</v>
      </c>
      <c r="E918" t="s">
        <v>2616</v>
      </c>
      <c r="F918">
        <v>1.36</v>
      </c>
      <c r="G918" t="s">
        <v>610</v>
      </c>
      <c r="H918" t="s">
        <v>14</v>
      </c>
      <c r="I918" s="26">
        <v>42339</v>
      </c>
    </row>
    <row r="919" spans="1:9" x14ac:dyDescent="0.2">
      <c r="A919">
        <v>906</v>
      </c>
      <c r="B919" t="s">
        <v>2617</v>
      </c>
      <c r="C919" t="s">
        <v>2618</v>
      </c>
      <c r="D919" t="s">
        <v>4558</v>
      </c>
      <c r="E919" t="s">
        <v>2619</v>
      </c>
      <c r="F919">
        <v>2.56</v>
      </c>
      <c r="G919" t="s">
        <v>610</v>
      </c>
      <c r="H919" t="s">
        <v>14</v>
      </c>
      <c r="I919" s="26"/>
    </row>
    <row r="920" spans="1:9" x14ac:dyDescent="0.2">
      <c r="A920">
        <v>907</v>
      </c>
      <c r="B920" t="s">
        <v>2620</v>
      </c>
      <c r="C920" t="s">
        <v>2621</v>
      </c>
      <c r="D920" t="s">
        <v>4558</v>
      </c>
      <c r="E920" t="s">
        <v>2622</v>
      </c>
      <c r="F920">
        <v>28.71</v>
      </c>
      <c r="G920" t="s">
        <v>610</v>
      </c>
      <c r="H920" t="s">
        <v>14</v>
      </c>
      <c r="I920" s="26"/>
    </row>
    <row r="921" spans="1:9" x14ac:dyDescent="0.2">
      <c r="A921">
        <v>908</v>
      </c>
      <c r="B921" t="s">
        <v>2623</v>
      </c>
      <c r="C921" t="s">
        <v>2624</v>
      </c>
      <c r="D921" t="s">
        <v>4558</v>
      </c>
      <c r="E921" t="s">
        <v>2625</v>
      </c>
      <c r="F921">
        <v>2.71</v>
      </c>
      <c r="G921" t="s">
        <v>610</v>
      </c>
      <c r="H921" t="s">
        <v>14</v>
      </c>
      <c r="I921" s="26"/>
    </row>
    <row r="922" spans="1:9" x14ac:dyDescent="0.2">
      <c r="A922">
        <v>909</v>
      </c>
      <c r="B922" t="s">
        <v>2626</v>
      </c>
      <c r="C922" t="s">
        <v>2627</v>
      </c>
      <c r="D922" t="s">
        <v>4558</v>
      </c>
      <c r="E922" t="s">
        <v>2628</v>
      </c>
      <c r="F922">
        <v>2.87</v>
      </c>
      <c r="G922" t="s">
        <v>610</v>
      </c>
      <c r="H922" t="s">
        <v>14</v>
      </c>
      <c r="I922" s="26"/>
    </row>
    <row r="923" spans="1:9" x14ac:dyDescent="0.2">
      <c r="A923">
        <v>910</v>
      </c>
      <c r="B923" t="s">
        <v>2629</v>
      </c>
      <c r="C923" t="s">
        <v>2630</v>
      </c>
      <c r="D923" t="s">
        <v>4558</v>
      </c>
      <c r="E923" t="s">
        <v>2631</v>
      </c>
      <c r="F923">
        <v>3.5</v>
      </c>
      <c r="G923" t="s">
        <v>610</v>
      </c>
      <c r="H923" t="s">
        <v>14</v>
      </c>
      <c r="I923" s="26"/>
    </row>
    <row r="924" spans="1:9" x14ac:dyDescent="0.2">
      <c r="A924">
        <v>911</v>
      </c>
      <c r="B924" t="s">
        <v>2632</v>
      </c>
      <c r="C924" t="s">
        <v>2633</v>
      </c>
      <c r="D924" t="s">
        <v>4558</v>
      </c>
      <c r="E924" t="s">
        <v>2634</v>
      </c>
      <c r="F924">
        <v>3.06</v>
      </c>
      <c r="G924" t="s">
        <v>610</v>
      </c>
      <c r="H924" t="s">
        <v>14</v>
      </c>
      <c r="I924" s="26"/>
    </row>
    <row r="925" spans="1:9" x14ac:dyDescent="0.2">
      <c r="A925">
        <v>912</v>
      </c>
      <c r="B925" t="s">
        <v>2635</v>
      </c>
      <c r="C925" t="s">
        <v>2636</v>
      </c>
      <c r="D925" t="s">
        <v>315</v>
      </c>
      <c r="E925" t="s">
        <v>2637</v>
      </c>
      <c r="F925">
        <v>12.785299999999999</v>
      </c>
      <c r="G925" t="s">
        <v>317</v>
      </c>
      <c r="H925" t="s">
        <v>14</v>
      </c>
      <c r="I925" s="26">
        <v>42290</v>
      </c>
    </row>
    <row r="926" spans="1:9" x14ac:dyDescent="0.2">
      <c r="A926">
        <v>913</v>
      </c>
      <c r="B926" t="s">
        <v>2638</v>
      </c>
      <c r="C926" t="s">
        <v>2639</v>
      </c>
      <c r="D926" t="s">
        <v>4558</v>
      </c>
      <c r="E926" t="s">
        <v>2640</v>
      </c>
      <c r="F926">
        <v>5.07</v>
      </c>
      <c r="G926" t="s">
        <v>610</v>
      </c>
      <c r="H926" t="s">
        <v>14</v>
      </c>
      <c r="I926" s="26"/>
    </row>
    <row r="927" spans="1:9" x14ac:dyDescent="0.2">
      <c r="A927">
        <v>914</v>
      </c>
      <c r="B927" t="s">
        <v>2641</v>
      </c>
      <c r="C927" t="s">
        <v>2642</v>
      </c>
      <c r="D927" t="s">
        <v>315</v>
      </c>
      <c r="E927" t="s">
        <v>2641</v>
      </c>
      <c r="F927">
        <v>44.661700000000003</v>
      </c>
      <c r="G927" t="s">
        <v>317</v>
      </c>
      <c r="H927" t="s">
        <v>14</v>
      </c>
      <c r="I927" s="26">
        <v>43185</v>
      </c>
    </row>
    <row r="928" spans="1:9" x14ac:dyDescent="0.2">
      <c r="A928">
        <v>915</v>
      </c>
      <c r="B928" t="s">
        <v>2643</v>
      </c>
      <c r="C928" t="s">
        <v>2644</v>
      </c>
      <c r="D928" t="s">
        <v>2548</v>
      </c>
      <c r="E928" t="s">
        <v>2645</v>
      </c>
      <c r="F928">
        <v>3.31</v>
      </c>
      <c r="G928" t="s">
        <v>2550</v>
      </c>
      <c r="H928" t="s">
        <v>14</v>
      </c>
      <c r="I928" s="26"/>
    </row>
    <row r="929" spans="1:9" x14ac:dyDescent="0.2">
      <c r="A929">
        <v>916</v>
      </c>
      <c r="B929" t="s">
        <v>2646</v>
      </c>
      <c r="C929" t="s">
        <v>2647</v>
      </c>
      <c r="D929" t="s">
        <v>4558</v>
      </c>
      <c r="E929" t="s">
        <v>2648</v>
      </c>
      <c r="F929">
        <v>6.98</v>
      </c>
      <c r="G929" t="s">
        <v>610</v>
      </c>
      <c r="H929" t="s">
        <v>14</v>
      </c>
      <c r="I929" s="26"/>
    </row>
    <row r="930" spans="1:9" x14ac:dyDescent="0.2">
      <c r="A930">
        <v>917</v>
      </c>
      <c r="B930" t="s">
        <v>2649</v>
      </c>
      <c r="C930" t="s">
        <v>2650</v>
      </c>
      <c r="D930" t="s">
        <v>315</v>
      </c>
      <c r="E930" t="s">
        <v>2651</v>
      </c>
      <c r="F930">
        <v>0.44500000000000001</v>
      </c>
      <c r="G930" t="s">
        <v>317</v>
      </c>
      <c r="H930" t="s">
        <v>14</v>
      </c>
      <c r="I930" s="26">
        <v>42307</v>
      </c>
    </row>
    <row r="931" spans="1:9" x14ac:dyDescent="0.2">
      <c r="A931">
        <v>918</v>
      </c>
      <c r="B931" t="s">
        <v>2652</v>
      </c>
      <c r="C931" t="s">
        <v>2653</v>
      </c>
      <c r="D931" t="s">
        <v>315</v>
      </c>
      <c r="E931" t="s">
        <v>2652</v>
      </c>
      <c r="F931">
        <v>20.47</v>
      </c>
      <c r="G931" t="s">
        <v>317</v>
      </c>
      <c r="H931" t="s">
        <v>14</v>
      </c>
      <c r="I931" s="26">
        <v>42289</v>
      </c>
    </row>
    <row r="932" spans="1:9" x14ac:dyDescent="0.2">
      <c r="A932">
        <v>919</v>
      </c>
      <c r="B932" t="s">
        <v>2654</v>
      </c>
      <c r="C932" t="s">
        <v>2655</v>
      </c>
      <c r="D932" t="s">
        <v>315</v>
      </c>
      <c r="E932" t="s">
        <v>2656</v>
      </c>
      <c r="F932">
        <v>35.71</v>
      </c>
      <c r="G932" t="s">
        <v>317</v>
      </c>
      <c r="H932" t="s">
        <v>14</v>
      </c>
      <c r="I932" s="26"/>
    </row>
    <row r="933" spans="1:9" x14ac:dyDescent="0.2">
      <c r="A933">
        <v>920</v>
      </c>
      <c r="B933" t="s">
        <v>2657</v>
      </c>
      <c r="C933" t="s">
        <v>2658</v>
      </c>
      <c r="D933" t="s">
        <v>315</v>
      </c>
      <c r="E933" t="s">
        <v>2659</v>
      </c>
      <c r="F933">
        <v>45.118899999999996</v>
      </c>
      <c r="G933" t="s">
        <v>317</v>
      </c>
      <c r="H933" t="s">
        <v>14</v>
      </c>
      <c r="I933" s="26">
        <v>42339</v>
      </c>
    </row>
    <row r="934" spans="1:9" x14ac:dyDescent="0.2">
      <c r="A934">
        <v>921</v>
      </c>
      <c r="B934" t="s">
        <v>2660</v>
      </c>
      <c r="C934" t="s">
        <v>2661</v>
      </c>
      <c r="D934" t="s">
        <v>315</v>
      </c>
      <c r="E934" t="s">
        <v>2660</v>
      </c>
      <c r="F934">
        <v>42.43</v>
      </c>
      <c r="G934" t="s">
        <v>317</v>
      </c>
      <c r="H934" t="s">
        <v>14</v>
      </c>
      <c r="I934" s="26">
        <v>42289</v>
      </c>
    </row>
    <row r="935" spans="1:9" x14ac:dyDescent="0.2">
      <c r="A935">
        <v>922</v>
      </c>
      <c r="B935" t="s">
        <v>2662</v>
      </c>
      <c r="C935" t="s">
        <v>2663</v>
      </c>
      <c r="D935" t="s">
        <v>315</v>
      </c>
      <c r="E935" t="s">
        <v>2662</v>
      </c>
      <c r="F935">
        <v>110.15730000000001</v>
      </c>
      <c r="G935" t="s">
        <v>317</v>
      </c>
      <c r="H935" t="s">
        <v>14</v>
      </c>
      <c r="I935" s="26">
        <v>42289</v>
      </c>
    </row>
    <row r="936" spans="1:9" x14ac:dyDescent="0.2">
      <c r="A936">
        <v>923</v>
      </c>
      <c r="B936" t="s">
        <v>2664</v>
      </c>
      <c r="C936" t="s">
        <v>2665</v>
      </c>
      <c r="D936" t="s">
        <v>315</v>
      </c>
      <c r="E936" t="s">
        <v>2664</v>
      </c>
      <c r="F936">
        <v>111.98</v>
      </c>
      <c r="G936" t="s">
        <v>317</v>
      </c>
      <c r="H936" t="s">
        <v>14</v>
      </c>
      <c r="I936" s="26"/>
    </row>
    <row r="937" spans="1:9" x14ac:dyDescent="0.2">
      <c r="A937">
        <v>924</v>
      </c>
      <c r="B937" t="s">
        <v>2666</v>
      </c>
      <c r="C937" t="s">
        <v>2667</v>
      </c>
      <c r="D937" t="s">
        <v>315</v>
      </c>
      <c r="E937" t="s">
        <v>2666</v>
      </c>
      <c r="F937">
        <v>51.2258</v>
      </c>
      <c r="G937" t="s">
        <v>317</v>
      </c>
      <c r="H937" t="s">
        <v>14</v>
      </c>
      <c r="I937" s="26"/>
    </row>
    <row r="938" spans="1:9" x14ac:dyDescent="0.2">
      <c r="A938">
        <v>925</v>
      </c>
      <c r="B938" t="s">
        <v>2668</v>
      </c>
      <c r="C938" t="s">
        <v>2669</v>
      </c>
      <c r="D938" t="s">
        <v>315</v>
      </c>
      <c r="E938" t="s">
        <v>2668</v>
      </c>
      <c r="F938">
        <v>49.83</v>
      </c>
      <c r="G938" t="s">
        <v>317</v>
      </c>
      <c r="H938" t="s">
        <v>14</v>
      </c>
      <c r="I938" s="26"/>
    </row>
    <row r="939" spans="1:9" x14ac:dyDescent="0.2">
      <c r="A939">
        <v>926</v>
      </c>
      <c r="B939" t="s">
        <v>2670</v>
      </c>
      <c r="C939" t="s">
        <v>2671</v>
      </c>
      <c r="D939" t="s">
        <v>315</v>
      </c>
      <c r="E939" t="s">
        <v>2670</v>
      </c>
      <c r="F939">
        <v>93.54</v>
      </c>
      <c r="G939" t="s">
        <v>317</v>
      </c>
      <c r="H939" t="s">
        <v>14</v>
      </c>
      <c r="I939" s="26"/>
    </row>
    <row r="940" spans="1:9" x14ac:dyDescent="0.2">
      <c r="A940">
        <v>927</v>
      </c>
      <c r="B940" t="s">
        <v>2672</v>
      </c>
      <c r="C940" t="s">
        <v>2673</v>
      </c>
      <c r="D940" t="s">
        <v>315</v>
      </c>
      <c r="E940" t="s">
        <v>2672</v>
      </c>
      <c r="F940">
        <v>73.19</v>
      </c>
      <c r="G940" t="s">
        <v>317</v>
      </c>
      <c r="H940" t="s">
        <v>14</v>
      </c>
      <c r="I940" s="26"/>
    </row>
    <row r="941" spans="1:9" x14ac:dyDescent="0.2">
      <c r="A941">
        <v>928</v>
      </c>
      <c r="B941" t="s">
        <v>2674</v>
      </c>
      <c r="C941" t="s">
        <v>2675</v>
      </c>
      <c r="D941" t="s">
        <v>315</v>
      </c>
      <c r="E941" t="s">
        <v>2674</v>
      </c>
      <c r="F941">
        <v>136.97999999999999</v>
      </c>
      <c r="G941" t="s">
        <v>317</v>
      </c>
      <c r="H941" t="s">
        <v>14</v>
      </c>
      <c r="I941" s="26">
        <v>42339</v>
      </c>
    </row>
    <row r="942" spans="1:9" x14ac:dyDescent="0.2">
      <c r="A942">
        <v>929</v>
      </c>
      <c r="B942" t="s">
        <v>2676</v>
      </c>
      <c r="C942" t="s">
        <v>2677</v>
      </c>
      <c r="D942" t="s">
        <v>315</v>
      </c>
      <c r="E942" t="s">
        <v>2676</v>
      </c>
      <c r="F942">
        <v>355.76920000000001</v>
      </c>
      <c r="G942" t="s">
        <v>317</v>
      </c>
      <c r="H942" t="s">
        <v>14</v>
      </c>
      <c r="I942" s="26"/>
    </row>
    <row r="943" spans="1:9" x14ac:dyDescent="0.2">
      <c r="A943">
        <v>930</v>
      </c>
      <c r="B943" t="s">
        <v>2678</v>
      </c>
      <c r="C943" t="s">
        <v>2679</v>
      </c>
      <c r="D943" t="s">
        <v>315</v>
      </c>
      <c r="E943" t="s">
        <v>2678</v>
      </c>
      <c r="F943">
        <v>411.71</v>
      </c>
      <c r="G943" t="s">
        <v>317</v>
      </c>
      <c r="H943" t="s">
        <v>14</v>
      </c>
      <c r="I943" s="26"/>
    </row>
    <row r="944" spans="1:9" x14ac:dyDescent="0.2">
      <c r="A944">
        <v>931</v>
      </c>
      <c r="B944" t="s">
        <v>2680</v>
      </c>
      <c r="C944" t="s">
        <v>2681</v>
      </c>
      <c r="D944" t="s">
        <v>315</v>
      </c>
      <c r="E944" t="s">
        <v>2680</v>
      </c>
      <c r="F944">
        <v>26.9864</v>
      </c>
      <c r="G944" t="s">
        <v>317</v>
      </c>
      <c r="H944" t="s">
        <v>14</v>
      </c>
      <c r="I944" s="26">
        <v>42339</v>
      </c>
    </row>
    <row r="945" spans="1:9" x14ac:dyDescent="0.2">
      <c r="A945">
        <v>932</v>
      </c>
      <c r="B945" t="s">
        <v>2682</v>
      </c>
      <c r="C945" t="s">
        <v>2683</v>
      </c>
      <c r="D945" t="s">
        <v>315</v>
      </c>
      <c r="E945" t="s">
        <v>2682</v>
      </c>
      <c r="F945">
        <v>49.47</v>
      </c>
      <c r="G945" t="s">
        <v>317</v>
      </c>
      <c r="H945" t="s">
        <v>14</v>
      </c>
      <c r="I945" s="26"/>
    </row>
    <row r="946" spans="1:9" x14ac:dyDescent="0.2">
      <c r="A946">
        <v>933</v>
      </c>
      <c r="B946" t="s">
        <v>2684</v>
      </c>
      <c r="C946" t="s">
        <v>2685</v>
      </c>
      <c r="D946" t="s">
        <v>315</v>
      </c>
      <c r="E946" t="s">
        <v>2684</v>
      </c>
      <c r="F946">
        <v>25.5167</v>
      </c>
      <c r="G946" t="s">
        <v>317</v>
      </c>
      <c r="H946" t="s">
        <v>14</v>
      </c>
      <c r="I946" s="26"/>
    </row>
    <row r="947" spans="1:9" x14ac:dyDescent="0.2">
      <c r="A947">
        <v>934</v>
      </c>
      <c r="B947" t="s">
        <v>2686</v>
      </c>
      <c r="C947" t="s">
        <v>2687</v>
      </c>
      <c r="D947" t="s">
        <v>315</v>
      </c>
      <c r="E947" t="s">
        <v>2686</v>
      </c>
      <c r="F947">
        <v>29.366199999999999</v>
      </c>
      <c r="G947" t="s">
        <v>317</v>
      </c>
      <c r="H947" t="s">
        <v>14</v>
      </c>
      <c r="I947" s="26"/>
    </row>
    <row r="948" spans="1:9" x14ac:dyDescent="0.2">
      <c r="A948">
        <v>935</v>
      </c>
      <c r="B948" t="s">
        <v>2688</v>
      </c>
      <c r="C948" t="s">
        <v>2689</v>
      </c>
      <c r="D948" t="s">
        <v>315</v>
      </c>
      <c r="E948" t="s">
        <v>2688</v>
      </c>
      <c r="F948">
        <v>52.01</v>
      </c>
      <c r="G948" t="s">
        <v>317</v>
      </c>
      <c r="H948" t="s">
        <v>14</v>
      </c>
      <c r="I948" s="26"/>
    </row>
    <row r="949" spans="1:9" x14ac:dyDescent="0.2">
      <c r="A949">
        <v>936</v>
      </c>
      <c r="B949" t="s">
        <v>2690</v>
      </c>
      <c r="C949" t="s">
        <v>2691</v>
      </c>
      <c r="D949" t="s">
        <v>315</v>
      </c>
      <c r="E949" t="s">
        <v>2690</v>
      </c>
      <c r="F949">
        <v>153.1</v>
      </c>
      <c r="G949" t="s">
        <v>317</v>
      </c>
      <c r="H949" t="s">
        <v>14</v>
      </c>
      <c r="I949" s="26"/>
    </row>
    <row r="950" spans="1:9" x14ac:dyDescent="0.2">
      <c r="A950">
        <v>937</v>
      </c>
      <c r="B950" t="s">
        <v>2692</v>
      </c>
      <c r="C950" t="s">
        <v>2693</v>
      </c>
      <c r="D950" t="s">
        <v>315</v>
      </c>
      <c r="E950" t="s">
        <v>2692</v>
      </c>
      <c r="F950">
        <v>147.37</v>
      </c>
      <c r="G950" t="s">
        <v>317</v>
      </c>
      <c r="H950" t="s">
        <v>14</v>
      </c>
      <c r="I950" s="26"/>
    </row>
    <row r="951" spans="1:9" x14ac:dyDescent="0.2">
      <c r="A951">
        <v>938</v>
      </c>
      <c r="B951" t="s">
        <v>2694</v>
      </c>
      <c r="C951" t="s">
        <v>2695</v>
      </c>
      <c r="D951" t="s">
        <v>315</v>
      </c>
      <c r="E951" t="s">
        <v>2694</v>
      </c>
      <c r="F951">
        <v>71.62</v>
      </c>
      <c r="G951" t="s">
        <v>317</v>
      </c>
      <c r="H951" t="s">
        <v>14</v>
      </c>
      <c r="I951" s="26"/>
    </row>
    <row r="952" spans="1:9" x14ac:dyDescent="0.2">
      <c r="A952">
        <v>939</v>
      </c>
      <c r="B952" t="s">
        <v>2696</v>
      </c>
      <c r="C952" t="s">
        <v>2697</v>
      </c>
      <c r="D952" t="s">
        <v>315</v>
      </c>
      <c r="E952" t="s">
        <v>2696</v>
      </c>
      <c r="F952">
        <v>0</v>
      </c>
      <c r="G952" t="s">
        <v>317</v>
      </c>
      <c r="H952" t="s">
        <v>14</v>
      </c>
      <c r="I952" s="26"/>
    </row>
    <row r="953" spans="1:9" x14ac:dyDescent="0.2">
      <c r="A953">
        <v>940</v>
      </c>
      <c r="B953" t="s">
        <v>2698</v>
      </c>
      <c r="C953" t="s">
        <v>2699</v>
      </c>
      <c r="D953" t="s">
        <v>315</v>
      </c>
      <c r="E953" t="s">
        <v>2698</v>
      </c>
      <c r="F953">
        <v>0</v>
      </c>
      <c r="G953" t="s">
        <v>317</v>
      </c>
      <c r="H953" t="s">
        <v>14</v>
      </c>
      <c r="I953" s="26"/>
    </row>
    <row r="954" spans="1:9" x14ac:dyDescent="0.2">
      <c r="A954">
        <v>941</v>
      </c>
      <c r="B954" t="s">
        <v>2700</v>
      </c>
      <c r="C954" t="s">
        <v>2701</v>
      </c>
      <c r="D954" t="s">
        <v>315</v>
      </c>
      <c r="E954" t="s">
        <v>2700</v>
      </c>
      <c r="F954">
        <v>0</v>
      </c>
      <c r="G954" t="s">
        <v>317</v>
      </c>
      <c r="H954" t="s">
        <v>14</v>
      </c>
      <c r="I954" s="26"/>
    </row>
    <row r="955" spans="1:9" x14ac:dyDescent="0.2">
      <c r="A955">
        <v>942</v>
      </c>
      <c r="B955" t="s">
        <v>2702</v>
      </c>
      <c r="C955" t="s">
        <v>2703</v>
      </c>
      <c r="D955" t="s">
        <v>315</v>
      </c>
      <c r="E955" t="s">
        <v>2702</v>
      </c>
      <c r="F955">
        <v>0</v>
      </c>
      <c r="G955" t="s">
        <v>317</v>
      </c>
      <c r="H955" t="s">
        <v>14</v>
      </c>
      <c r="I955" s="26"/>
    </row>
    <row r="956" spans="1:9" x14ac:dyDescent="0.2">
      <c r="A956">
        <v>943</v>
      </c>
      <c r="B956" t="s">
        <v>2704</v>
      </c>
      <c r="C956" t="s">
        <v>2705</v>
      </c>
      <c r="D956" t="s">
        <v>315</v>
      </c>
      <c r="E956" t="s">
        <v>2704</v>
      </c>
      <c r="F956">
        <v>0</v>
      </c>
      <c r="G956" t="s">
        <v>317</v>
      </c>
      <c r="H956" t="s">
        <v>14</v>
      </c>
      <c r="I956" s="26"/>
    </row>
    <row r="957" spans="1:9" x14ac:dyDescent="0.2">
      <c r="A957">
        <v>944</v>
      </c>
      <c r="B957" t="s">
        <v>2706</v>
      </c>
      <c r="C957" t="s">
        <v>2707</v>
      </c>
      <c r="D957" t="s">
        <v>4558</v>
      </c>
      <c r="E957" t="s">
        <v>2708</v>
      </c>
      <c r="F957">
        <v>15.91</v>
      </c>
      <c r="G957" t="s">
        <v>610</v>
      </c>
      <c r="H957" t="s">
        <v>14</v>
      </c>
      <c r="I957" s="26">
        <v>42297</v>
      </c>
    </row>
    <row r="958" spans="1:9" x14ac:dyDescent="0.2">
      <c r="A958">
        <v>945</v>
      </c>
      <c r="B958" t="s">
        <v>2709</v>
      </c>
      <c r="C958" t="s">
        <v>2710</v>
      </c>
      <c r="D958" t="s">
        <v>4558</v>
      </c>
      <c r="E958" t="s">
        <v>2711</v>
      </c>
      <c r="F958">
        <v>16.2</v>
      </c>
      <c r="G958" t="s">
        <v>610</v>
      </c>
      <c r="H958" t="s">
        <v>14</v>
      </c>
      <c r="I958" s="26">
        <v>42297</v>
      </c>
    </row>
    <row r="959" spans="1:9" x14ac:dyDescent="0.2">
      <c r="A959">
        <v>946</v>
      </c>
      <c r="B959" t="s">
        <v>2712</v>
      </c>
      <c r="C959" t="s">
        <v>2713</v>
      </c>
      <c r="D959" t="s">
        <v>4558</v>
      </c>
      <c r="E959" t="s">
        <v>2714</v>
      </c>
      <c r="F959">
        <v>0.26</v>
      </c>
      <c r="G959" t="s">
        <v>610</v>
      </c>
      <c r="H959" t="s">
        <v>14</v>
      </c>
      <c r="I959" s="26">
        <v>42339</v>
      </c>
    </row>
    <row r="960" spans="1:9" x14ac:dyDescent="0.2">
      <c r="A960">
        <v>947</v>
      </c>
      <c r="B960" t="s">
        <v>2715</v>
      </c>
      <c r="C960" t="s">
        <v>2716</v>
      </c>
      <c r="D960" t="s">
        <v>4558</v>
      </c>
      <c r="E960" t="s">
        <v>2717</v>
      </c>
      <c r="F960">
        <v>0.34</v>
      </c>
      <c r="G960" t="s">
        <v>610</v>
      </c>
      <c r="H960" t="s">
        <v>14</v>
      </c>
      <c r="I960" s="26">
        <v>43025</v>
      </c>
    </row>
    <row r="961" spans="1:9" x14ac:dyDescent="0.2">
      <c r="A961">
        <v>948</v>
      </c>
      <c r="B961" t="s">
        <v>2718</v>
      </c>
      <c r="C961" t="s">
        <v>2719</v>
      </c>
      <c r="D961" t="s">
        <v>4558</v>
      </c>
      <c r="E961" t="s">
        <v>2720</v>
      </c>
      <c r="F961">
        <v>0.28000000000000003</v>
      </c>
      <c r="G961" t="s">
        <v>610</v>
      </c>
      <c r="H961" t="s">
        <v>14</v>
      </c>
      <c r="I961" s="26">
        <v>42933</v>
      </c>
    </row>
    <row r="962" spans="1:9" x14ac:dyDescent="0.2">
      <c r="A962">
        <v>949</v>
      </c>
      <c r="B962" t="s">
        <v>2721</v>
      </c>
      <c r="C962" t="s">
        <v>2722</v>
      </c>
      <c r="D962" t="s">
        <v>4558</v>
      </c>
      <c r="E962" t="s">
        <v>2723</v>
      </c>
      <c r="F962">
        <v>0.77</v>
      </c>
      <c r="G962" t="s">
        <v>610</v>
      </c>
      <c r="H962" t="s">
        <v>14</v>
      </c>
      <c r="I962" s="26">
        <v>42339</v>
      </c>
    </row>
    <row r="963" spans="1:9" x14ac:dyDescent="0.2">
      <c r="A963">
        <v>950</v>
      </c>
      <c r="B963" t="s">
        <v>2724</v>
      </c>
      <c r="C963" t="s">
        <v>2725</v>
      </c>
      <c r="D963" t="s">
        <v>4558</v>
      </c>
      <c r="E963" t="s">
        <v>2726</v>
      </c>
      <c r="F963">
        <v>0.56999999999999995</v>
      </c>
      <c r="G963" t="s">
        <v>610</v>
      </c>
      <c r="H963" t="s">
        <v>14</v>
      </c>
      <c r="I963" s="26">
        <v>43025</v>
      </c>
    </row>
    <row r="964" spans="1:9" x14ac:dyDescent="0.2">
      <c r="A964">
        <v>951</v>
      </c>
      <c r="B964" t="s">
        <v>2727</v>
      </c>
      <c r="C964" t="s">
        <v>2728</v>
      </c>
      <c r="D964" t="s">
        <v>4558</v>
      </c>
      <c r="E964" t="s">
        <v>2729</v>
      </c>
      <c r="F964">
        <v>1.19</v>
      </c>
      <c r="G964" t="s">
        <v>610</v>
      </c>
      <c r="H964" t="s">
        <v>14</v>
      </c>
      <c r="I964" s="26">
        <v>43025</v>
      </c>
    </row>
    <row r="965" spans="1:9" x14ac:dyDescent="0.2">
      <c r="A965">
        <v>952</v>
      </c>
      <c r="B965" t="s">
        <v>2730</v>
      </c>
      <c r="C965" t="s">
        <v>2731</v>
      </c>
      <c r="D965" t="s">
        <v>4558</v>
      </c>
      <c r="E965" t="s">
        <v>2732</v>
      </c>
      <c r="F965">
        <v>1.98</v>
      </c>
      <c r="G965" t="s">
        <v>610</v>
      </c>
      <c r="H965" t="s">
        <v>14</v>
      </c>
      <c r="I965" s="26">
        <v>43025</v>
      </c>
    </row>
    <row r="966" spans="1:9" x14ac:dyDescent="0.2">
      <c r="A966">
        <v>953</v>
      </c>
      <c r="B966" t="s">
        <v>2733</v>
      </c>
      <c r="C966" t="s">
        <v>2734</v>
      </c>
      <c r="D966" t="s">
        <v>4558</v>
      </c>
      <c r="E966" t="s">
        <v>2735</v>
      </c>
      <c r="F966">
        <v>2.5099999999999998</v>
      </c>
      <c r="G966" t="s">
        <v>610</v>
      </c>
      <c r="H966" t="s">
        <v>14</v>
      </c>
      <c r="I966" s="26">
        <v>43025</v>
      </c>
    </row>
    <row r="967" spans="1:9" x14ac:dyDescent="0.2">
      <c r="A967">
        <v>954</v>
      </c>
      <c r="B967" t="s">
        <v>2736</v>
      </c>
      <c r="C967" t="s">
        <v>2737</v>
      </c>
      <c r="D967" t="s">
        <v>4558</v>
      </c>
      <c r="E967" t="s">
        <v>2738</v>
      </c>
      <c r="F967">
        <v>4.75</v>
      </c>
      <c r="G967" t="s">
        <v>610</v>
      </c>
      <c r="H967" t="s">
        <v>14</v>
      </c>
      <c r="I967" s="26">
        <v>43025</v>
      </c>
    </row>
    <row r="968" spans="1:9" x14ac:dyDescent="0.2">
      <c r="A968">
        <v>955</v>
      </c>
      <c r="B968" t="s">
        <v>2739</v>
      </c>
      <c r="C968" t="s">
        <v>2740</v>
      </c>
      <c r="D968" t="s">
        <v>315</v>
      </c>
      <c r="E968" t="s">
        <v>2741</v>
      </c>
      <c r="F968">
        <v>38.217300000000002</v>
      </c>
      <c r="G968" t="s">
        <v>317</v>
      </c>
      <c r="H968" t="s">
        <v>14</v>
      </c>
      <c r="I968" s="26"/>
    </row>
    <row r="969" spans="1:9" x14ac:dyDescent="0.2">
      <c r="A969">
        <v>956</v>
      </c>
      <c r="B969" t="s">
        <v>2742</v>
      </c>
      <c r="C969" t="s">
        <v>2743</v>
      </c>
      <c r="D969" t="s">
        <v>315</v>
      </c>
      <c r="E969" t="s">
        <v>2744</v>
      </c>
      <c r="F969">
        <v>62.137</v>
      </c>
      <c r="G969" t="s">
        <v>317</v>
      </c>
      <c r="H969" t="s">
        <v>14</v>
      </c>
      <c r="I969" s="26">
        <v>42339</v>
      </c>
    </row>
    <row r="970" spans="1:9" x14ac:dyDescent="0.2">
      <c r="A970">
        <v>957</v>
      </c>
      <c r="B970" t="s">
        <v>2745</v>
      </c>
      <c r="C970" t="s">
        <v>2746</v>
      </c>
      <c r="D970" t="s">
        <v>415</v>
      </c>
      <c r="E970" t="s">
        <v>2747</v>
      </c>
      <c r="F970">
        <v>273.60000000000002</v>
      </c>
      <c r="G970" t="s">
        <v>417</v>
      </c>
      <c r="H970" t="s">
        <v>14</v>
      </c>
      <c r="I970" s="26"/>
    </row>
    <row r="971" spans="1:9" x14ac:dyDescent="0.2">
      <c r="A971">
        <v>958</v>
      </c>
      <c r="B971" t="s">
        <v>2748</v>
      </c>
      <c r="C971" t="s">
        <v>2749</v>
      </c>
      <c r="D971" t="s">
        <v>415</v>
      </c>
      <c r="E971" t="s">
        <v>2750</v>
      </c>
      <c r="F971">
        <v>265.63</v>
      </c>
      <c r="G971" t="s">
        <v>417</v>
      </c>
      <c r="H971" t="s">
        <v>14</v>
      </c>
      <c r="I971" s="26"/>
    </row>
    <row r="972" spans="1:9" x14ac:dyDescent="0.2">
      <c r="A972">
        <v>959</v>
      </c>
      <c r="B972" t="s">
        <v>2751</v>
      </c>
      <c r="C972" t="s">
        <v>2752</v>
      </c>
      <c r="D972" t="s">
        <v>4558</v>
      </c>
      <c r="E972" t="s">
        <v>2753</v>
      </c>
      <c r="F972">
        <v>0.2</v>
      </c>
      <c r="G972" t="s">
        <v>610</v>
      </c>
      <c r="H972" t="s">
        <v>14</v>
      </c>
      <c r="I972" s="26">
        <v>43025</v>
      </c>
    </row>
    <row r="973" spans="1:9" x14ac:dyDescent="0.2">
      <c r="A973">
        <v>960</v>
      </c>
      <c r="B973" t="s">
        <v>2754</v>
      </c>
      <c r="C973" t="s">
        <v>2755</v>
      </c>
      <c r="D973" t="s">
        <v>315</v>
      </c>
      <c r="E973" t="s">
        <v>2756</v>
      </c>
      <c r="F973">
        <v>1.254</v>
      </c>
      <c r="G973" t="s">
        <v>317</v>
      </c>
      <c r="H973" t="s">
        <v>14</v>
      </c>
      <c r="I973" s="26"/>
    </row>
    <row r="974" spans="1:9" x14ac:dyDescent="0.2">
      <c r="A974">
        <v>961</v>
      </c>
      <c r="B974" t="s">
        <v>2757</v>
      </c>
      <c r="C974" t="s">
        <v>2758</v>
      </c>
      <c r="D974" t="s">
        <v>4558</v>
      </c>
      <c r="E974" t="s">
        <v>2759</v>
      </c>
      <c r="F974">
        <v>2.2200000000000002</v>
      </c>
      <c r="G974" t="s">
        <v>610</v>
      </c>
      <c r="H974" t="s">
        <v>14</v>
      </c>
      <c r="I974" s="26">
        <v>42933</v>
      </c>
    </row>
    <row r="975" spans="1:9" x14ac:dyDescent="0.2">
      <c r="A975">
        <v>962</v>
      </c>
      <c r="B975" t="s">
        <v>2760</v>
      </c>
      <c r="C975" t="s">
        <v>2761</v>
      </c>
      <c r="D975" t="s">
        <v>4558</v>
      </c>
      <c r="E975" t="s">
        <v>2762</v>
      </c>
      <c r="F975">
        <v>2.35</v>
      </c>
      <c r="G975" t="s">
        <v>610</v>
      </c>
      <c r="H975" t="s">
        <v>14</v>
      </c>
      <c r="I975" s="26">
        <v>42933</v>
      </c>
    </row>
    <row r="976" spans="1:9" x14ac:dyDescent="0.2">
      <c r="A976">
        <v>963</v>
      </c>
      <c r="B976" t="s">
        <v>2763</v>
      </c>
      <c r="C976" t="s">
        <v>2764</v>
      </c>
      <c r="D976" t="s">
        <v>4558</v>
      </c>
      <c r="E976" t="s">
        <v>2765</v>
      </c>
      <c r="F976">
        <v>0.46</v>
      </c>
      <c r="G976" t="s">
        <v>610</v>
      </c>
      <c r="H976" t="s">
        <v>14</v>
      </c>
      <c r="I976" s="26">
        <v>43025</v>
      </c>
    </row>
    <row r="977" spans="1:9" x14ac:dyDescent="0.2">
      <c r="A977">
        <v>964</v>
      </c>
      <c r="B977" t="s">
        <v>2766</v>
      </c>
      <c r="C977" t="s">
        <v>2767</v>
      </c>
      <c r="D977" t="s">
        <v>4558</v>
      </c>
      <c r="E977" t="s">
        <v>2768</v>
      </c>
      <c r="F977">
        <v>1.89</v>
      </c>
      <c r="G977" t="s">
        <v>610</v>
      </c>
      <c r="H977" t="s">
        <v>14</v>
      </c>
      <c r="I977" s="26">
        <v>43025</v>
      </c>
    </row>
    <row r="978" spans="1:9" x14ac:dyDescent="0.2">
      <c r="A978">
        <v>965</v>
      </c>
      <c r="B978" t="s">
        <v>2769</v>
      </c>
      <c r="C978" t="s">
        <v>2770</v>
      </c>
      <c r="D978" t="s">
        <v>4558</v>
      </c>
      <c r="E978" t="s">
        <v>2771</v>
      </c>
      <c r="F978">
        <v>0.74</v>
      </c>
      <c r="G978" t="s">
        <v>610</v>
      </c>
      <c r="H978" t="s">
        <v>14</v>
      </c>
      <c r="I978" s="26">
        <v>43025</v>
      </c>
    </row>
    <row r="979" spans="1:9" x14ac:dyDescent="0.2">
      <c r="A979">
        <v>966</v>
      </c>
      <c r="B979" t="s">
        <v>2772</v>
      </c>
      <c r="C979" t="s">
        <v>2773</v>
      </c>
      <c r="D979" t="s">
        <v>4558</v>
      </c>
      <c r="E979" t="s">
        <v>2774</v>
      </c>
      <c r="F979">
        <v>4.4000000000000004</v>
      </c>
      <c r="G979" t="s">
        <v>610</v>
      </c>
      <c r="H979" t="s">
        <v>14</v>
      </c>
      <c r="I979" s="26">
        <v>43025</v>
      </c>
    </row>
    <row r="980" spans="1:9" x14ac:dyDescent="0.2">
      <c r="A980">
        <v>967</v>
      </c>
      <c r="B980" t="s">
        <v>2775</v>
      </c>
      <c r="C980" t="s">
        <v>2776</v>
      </c>
      <c r="D980" t="s">
        <v>4558</v>
      </c>
      <c r="E980" t="s">
        <v>2777</v>
      </c>
      <c r="F980">
        <v>1.79</v>
      </c>
      <c r="G980" t="s">
        <v>610</v>
      </c>
      <c r="H980" t="s">
        <v>14</v>
      </c>
      <c r="I980" s="26">
        <v>43025</v>
      </c>
    </row>
    <row r="981" spans="1:9" x14ac:dyDescent="0.2">
      <c r="A981">
        <v>968</v>
      </c>
      <c r="B981" t="s">
        <v>2778</v>
      </c>
      <c r="C981" t="s">
        <v>2779</v>
      </c>
      <c r="D981" t="s">
        <v>4558</v>
      </c>
      <c r="E981" t="s">
        <v>2780</v>
      </c>
      <c r="F981">
        <v>5.26</v>
      </c>
      <c r="G981" t="s">
        <v>610</v>
      </c>
      <c r="H981" t="s">
        <v>14</v>
      </c>
      <c r="I981" s="26">
        <v>43025</v>
      </c>
    </row>
    <row r="982" spans="1:9" x14ac:dyDescent="0.2">
      <c r="A982">
        <v>969</v>
      </c>
      <c r="B982" t="s">
        <v>2781</v>
      </c>
      <c r="C982" t="s">
        <v>2782</v>
      </c>
      <c r="D982" t="s">
        <v>4558</v>
      </c>
      <c r="E982" t="s">
        <v>2783</v>
      </c>
      <c r="F982">
        <v>6.94</v>
      </c>
      <c r="G982" t="s">
        <v>610</v>
      </c>
      <c r="H982" t="s">
        <v>14</v>
      </c>
      <c r="I982" s="26">
        <v>43025</v>
      </c>
    </row>
    <row r="983" spans="1:9" x14ac:dyDescent="0.2">
      <c r="A983">
        <v>970</v>
      </c>
      <c r="B983" t="s">
        <v>2784</v>
      </c>
      <c r="C983" t="s">
        <v>2785</v>
      </c>
      <c r="D983" t="s">
        <v>4558</v>
      </c>
      <c r="E983" t="s">
        <v>2786</v>
      </c>
      <c r="F983">
        <v>7.83</v>
      </c>
      <c r="G983" t="s">
        <v>610</v>
      </c>
      <c r="H983" t="s">
        <v>14</v>
      </c>
      <c r="I983" s="26">
        <v>43025</v>
      </c>
    </row>
    <row r="984" spans="1:9" x14ac:dyDescent="0.2">
      <c r="A984">
        <v>971</v>
      </c>
      <c r="B984" t="s">
        <v>2787</v>
      </c>
      <c r="C984" t="s">
        <v>2788</v>
      </c>
      <c r="D984" t="s">
        <v>4558</v>
      </c>
      <c r="E984" t="s">
        <v>2789</v>
      </c>
      <c r="F984">
        <v>10.41</v>
      </c>
      <c r="G984" t="s">
        <v>610</v>
      </c>
      <c r="H984" t="s">
        <v>14</v>
      </c>
      <c r="I984" s="26">
        <v>43025</v>
      </c>
    </row>
    <row r="985" spans="1:9" x14ac:dyDescent="0.2">
      <c r="A985">
        <v>972</v>
      </c>
      <c r="B985" t="s">
        <v>2790</v>
      </c>
      <c r="C985" t="s">
        <v>2791</v>
      </c>
      <c r="D985" t="s">
        <v>4558</v>
      </c>
      <c r="E985" t="s">
        <v>2792</v>
      </c>
      <c r="F985">
        <v>6.22</v>
      </c>
      <c r="G985" t="s">
        <v>610</v>
      </c>
      <c r="H985" t="s">
        <v>14</v>
      </c>
      <c r="I985" s="26">
        <v>43025</v>
      </c>
    </row>
    <row r="986" spans="1:9" x14ac:dyDescent="0.2">
      <c r="A986">
        <v>973</v>
      </c>
      <c r="B986" t="s">
        <v>2793</v>
      </c>
      <c r="C986" t="s">
        <v>2794</v>
      </c>
      <c r="D986" t="s">
        <v>4558</v>
      </c>
      <c r="E986" t="s">
        <v>2795</v>
      </c>
      <c r="F986">
        <v>0.9</v>
      </c>
      <c r="G986" t="s">
        <v>610</v>
      </c>
      <c r="H986" t="s">
        <v>14</v>
      </c>
      <c r="I986" s="26">
        <v>43217</v>
      </c>
    </row>
    <row r="987" spans="1:9" x14ac:dyDescent="0.2">
      <c r="A987">
        <v>974</v>
      </c>
      <c r="B987" t="s">
        <v>2796</v>
      </c>
      <c r="C987" t="s">
        <v>2797</v>
      </c>
      <c r="D987" t="s">
        <v>4558</v>
      </c>
      <c r="E987" t="s">
        <v>2798</v>
      </c>
      <c r="F987">
        <v>0.9</v>
      </c>
      <c r="G987" t="s">
        <v>610</v>
      </c>
      <c r="H987" t="s">
        <v>14</v>
      </c>
      <c r="I987" s="26">
        <v>43025</v>
      </c>
    </row>
    <row r="988" spans="1:9" x14ac:dyDescent="0.2">
      <c r="A988">
        <v>975</v>
      </c>
      <c r="B988" t="s">
        <v>2799</v>
      </c>
      <c r="C988" t="s">
        <v>2800</v>
      </c>
      <c r="D988" t="s">
        <v>4558</v>
      </c>
      <c r="E988" t="s">
        <v>2801</v>
      </c>
      <c r="F988">
        <v>2.58</v>
      </c>
      <c r="G988" t="s">
        <v>610</v>
      </c>
      <c r="H988" t="s">
        <v>14</v>
      </c>
      <c r="I988" s="26">
        <v>43025</v>
      </c>
    </row>
    <row r="989" spans="1:9" x14ac:dyDescent="0.2">
      <c r="A989">
        <v>976</v>
      </c>
      <c r="B989" t="s">
        <v>2802</v>
      </c>
      <c r="C989" t="s">
        <v>2803</v>
      </c>
      <c r="D989" t="s">
        <v>4558</v>
      </c>
      <c r="E989" t="s">
        <v>2804</v>
      </c>
      <c r="F989">
        <v>0.71</v>
      </c>
      <c r="G989" t="s">
        <v>610</v>
      </c>
      <c r="H989" t="s">
        <v>14</v>
      </c>
      <c r="I989" s="26">
        <v>43025</v>
      </c>
    </row>
    <row r="990" spans="1:9" x14ac:dyDescent="0.2">
      <c r="A990">
        <v>977</v>
      </c>
      <c r="B990" t="s">
        <v>2805</v>
      </c>
      <c r="C990" t="s">
        <v>2806</v>
      </c>
      <c r="D990" t="s">
        <v>4558</v>
      </c>
      <c r="E990" t="s">
        <v>2807</v>
      </c>
      <c r="F990">
        <v>0.97</v>
      </c>
      <c r="G990" t="s">
        <v>610</v>
      </c>
      <c r="H990" t="s">
        <v>14</v>
      </c>
      <c r="I990" s="26">
        <v>43025</v>
      </c>
    </row>
    <row r="991" spans="1:9" x14ac:dyDescent="0.2">
      <c r="A991">
        <v>978</v>
      </c>
      <c r="B991" t="s">
        <v>2808</v>
      </c>
      <c r="C991" t="s">
        <v>2809</v>
      </c>
      <c r="D991" t="s">
        <v>4558</v>
      </c>
      <c r="E991" t="s">
        <v>2810</v>
      </c>
      <c r="F991">
        <v>0.77</v>
      </c>
      <c r="G991" t="s">
        <v>610</v>
      </c>
      <c r="H991" t="s">
        <v>14</v>
      </c>
      <c r="I991" s="26">
        <v>43025</v>
      </c>
    </row>
    <row r="992" spans="1:9" x14ac:dyDescent="0.2">
      <c r="A992">
        <v>979</v>
      </c>
      <c r="B992" t="s">
        <v>2811</v>
      </c>
      <c r="C992" t="s">
        <v>2812</v>
      </c>
      <c r="D992" t="s">
        <v>4558</v>
      </c>
      <c r="E992" t="s">
        <v>2813</v>
      </c>
      <c r="F992">
        <v>1.78</v>
      </c>
      <c r="G992" t="s">
        <v>610</v>
      </c>
      <c r="H992" t="s">
        <v>14</v>
      </c>
      <c r="I992" s="26">
        <v>43025</v>
      </c>
    </row>
    <row r="993" spans="1:9" x14ac:dyDescent="0.2">
      <c r="A993">
        <v>980</v>
      </c>
      <c r="B993" t="s">
        <v>2814</v>
      </c>
      <c r="C993" t="s">
        <v>2815</v>
      </c>
      <c r="D993" t="s">
        <v>4558</v>
      </c>
      <c r="E993" t="s">
        <v>2816</v>
      </c>
      <c r="F993">
        <v>1.3</v>
      </c>
      <c r="G993" t="s">
        <v>610</v>
      </c>
      <c r="H993" t="s">
        <v>14</v>
      </c>
      <c r="I993" s="26">
        <v>43025</v>
      </c>
    </row>
    <row r="994" spans="1:9" x14ac:dyDescent="0.2">
      <c r="A994">
        <v>981</v>
      </c>
      <c r="B994" t="s">
        <v>2817</v>
      </c>
      <c r="C994" t="s">
        <v>2818</v>
      </c>
      <c r="D994" t="s">
        <v>4558</v>
      </c>
      <c r="E994" t="s">
        <v>2819</v>
      </c>
      <c r="F994">
        <v>4.4400000000000004</v>
      </c>
      <c r="G994" t="s">
        <v>610</v>
      </c>
      <c r="H994" t="s">
        <v>14</v>
      </c>
      <c r="I994" s="26">
        <v>43025</v>
      </c>
    </row>
    <row r="995" spans="1:9" x14ac:dyDescent="0.2">
      <c r="A995">
        <v>982</v>
      </c>
      <c r="B995" t="s">
        <v>2820</v>
      </c>
      <c r="C995" t="s">
        <v>2821</v>
      </c>
      <c r="D995" t="s">
        <v>2548</v>
      </c>
      <c r="E995" t="s">
        <v>2822</v>
      </c>
      <c r="F995">
        <v>1.98</v>
      </c>
      <c r="G995" t="s">
        <v>2550</v>
      </c>
      <c r="H995" t="s">
        <v>14</v>
      </c>
      <c r="I995" s="26">
        <v>43025</v>
      </c>
    </row>
    <row r="996" spans="1:9" x14ac:dyDescent="0.2">
      <c r="A996">
        <v>983</v>
      </c>
      <c r="B996" t="s">
        <v>2823</v>
      </c>
      <c r="C996" t="s">
        <v>2824</v>
      </c>
      <c r="D996" t="s">
        <v>4558</v>
      </c>
      <c r="E996" t="s">
        <v>2825</v>
      </c>
      <c r="F996">
        <v>5.22</v>
      </c>
      <c r="G996" t="s">
        <v>610</v>
      </c>
      <c r="H996" t="s">
        <v>14</v>
      </c>
      <c r="I996" s="26">
        <v>43025</v>
      </c>
    </row>
    <row r="997" spans="1:9" x14ac:dyDescent="0.2">
      <c r="A997">
        <v>984</v>
      </c>
      <c r="B997" t="s">
        <v>2826</v>
      </c>
      <c r="C997" t="s">
        <v>2827</v>
      </c>
      <c r="D997" t="s">
        <v>4558</v>
      </c>
      <c r="E997" t="s">
        <v>2828</v>
      </c>
      <c r="F997">
        <v>1.0900000000000001</v>
      </c>
      <c r="G997" t="s">
        <v>610</v>
      </c>
      <c r="H997" t="s">
        <v>14</v>
      </c>
      <c r="I997" s="26">
        <v>43025</v>
      </c>
    </row>
    <row r="998" spans="1:9" x14ac:dyDescent="0.2">
      <c r="A998">
        <v>985</v>
      </c>
      <c r="B998" t="s">
        <v>2829</v>
      </c>
      <c r="C998" t="s">
        <v>2830</v>
      </c>
      <c r="D998" t="s">
        <v>4558</v>
      </c>
      <c r="E998" t="s">
        <v>2831</v>
      </c>
      <c r="F998">
        <v>1.06</v>
      </c>
      <c r="G998" t="s">
        <v>610</v>
      </c>
      <c r="H998" t="s">
        <v>14</v>
      </c>
      <c r="I998" s="26">
        <v>43025</v>
      </c>
    </row>
    <row r="999" spans="1:9" x14ac:dyDescent="0.2">
      <c r="A999">
        <v>986</v>
      </c>
      <c r="B999" t="s">
        <v>2832</v>
      </c>
      <c r="C999" t="s">
        <v>2833</v>
      </c>
      <c r="D999" t="s">
        <v>4558</v>
      </c>
      <c r="E999" t="s">
        <v>2834</v>
      </c>
      <c r="F999">
        <v>16.760000000000002</v>
      </c>
      <c r="G999" t="s">
        <v>610</v>
      </c>
      <c r="H999" t="s">
        <v>14</v>
      </c>
      <c r="I999" s="26">
        <v>43025</v>
      </c>
    </row>
    <row r="1000" spans="1:9" x14ac:dyDescent="0.2">
      <c r="A1000">
        <v>987</v>
      </c>
      <c r="B1000" t="s">
        <v>2835</v>
      </c>
      <c r="C1000" t="s">
        <v>2836</v>
      </c>
      <c r="D1000" t="s">
        <v>4558</v>
      </c>
      <c r="E1000" t="s">
        <v>2837</v>
      </c>
      <c r="F1000">
        <v>1.54</v>
      </c>
      <c r="G1000" t="s">
        <v>610</v>
      </c>
      <c r="H1000" t="s">
        <v>14</v>
      </c>
      <c r="I1000" s="26">
        <v>43025</v>
      </c>
    </row>
    <row r="1001" spans="1:9" x14ac:dyDescent="0.2">
      <c r="A1001">
        <v>988</v>
      </c>
      <c r="B1001" t="s">
        <v>2838</v>
      </c>
      <c r="C1001" t="s">
        <v>2839</v>
      </c>
      <c r="D1001" t="s">
        <v>4558</v>
      </c>
      <c r="E1001" t="s">
        <v>2840</v>
      </c>
      <c r="F1001">
        <v>2.91</v>
      </c>
      <c r="G1001" t="s">
        <v>610</v>
      </c>
      <c r="H1001" t="s">
        <v>14</v>
      </c>
      <c r="I1001" s="26">
        <v>43025</v>
      </c>
    </row>
    <row r="1002" spans="1:9" x14ac:dyDescent="0.2">
      <c r="A1002">
        <v>989</v>
      </c>
      <c r="B1002" t="s">
        <v>2841</v>
      </c>
      <c r="C1002" t="s">
        <v>2842</v>
      </c>
      <c r="D1002" t="s">
        <v>4558</v>
      </c>
      <c r="E1002" t="s">
        <v>2843</v>
      </c>
      <c r="F1002">
        <v>2.81</v>
      </c>
      <c r="G1002" t="s">
        <v>610</v>
      </c>
      <c r="H1002" t="s">
        <v>14</v>
      </c>
      <c r="I1002" s="26">
        <v>43025</v>
      </c>
    </row>
    <row r="1003" spans="1:9" x14ac:dyDescent="0.2">
      <c r="A1003">
        <v>990</v>
      </c>
      <c r="B1003" t="s">
        <v>2844</v>
      </c>
      <c r="C1003" t="s">
        <v>2845</v>
      </c>
      <c r="D1003" t="s">
        <v>4558</v>
      </c>
      <c r="E1003" t="s">
        <v>2846</v>
      </c>
      <c r="F1003">
        <v>2.98</v>
      </c>
      <c r="G1003" t="s">
        <v>610</v>
      </c>
      <c r="H1003" t="s">
        <v>14</v>
      </c>
      <c r="I1003" s="26">
        <v>43025</v>
      </c>
    </row>
    <row r="1004" spans="1:9" x14ac:dyDescent="0.2">
      <c r="A1004">
        <v>991</v>
      </c>
      <c r="B1004" t="s">
        <v>2847</v>
      </c>
      <c r="C1004" t="s">
        <v>2848</v>
      </c>
      <c r="D1004" t="s">
        <v>4558</v>
      </c>
      <c r="E1004" t="s">
        <v>2849</v>
      </c>
      <c r="F1004">
        <v>3.53</v>
      </c>
      <c r="G1004" t="s">
        <v>610</v>
      </c>
      <c r="H1004" t="s">
        <v>14</v>
      </c>
      <c r="I1004" s="26">
        <v>43025</v>
      </c>
    </row>
    <row r="1005" spans="1:9" x14ac:dyDescent="0.2">
      <c r="A1005">
        <v>992</v>
      </c>
      <c r="B1005" t="s">
        <v>2850</v>
      </c>
      <c r="C1005" t="s">
        <v>2851</v>
      </c>
      <c r="D1005" t="s">
        <v>4558</v>
      </c>
      <c r="E1005" t="s">
        <v>2852</v>
      </c>
      <c r="F1005">
        <v>1.89</v>
      </c>
      <c r="G1005" t="s">
        <v>610</v>
      </c>
      <c r="H1005" t="s">
        <v>14</v>
      </c>
      <c r="I1005" s="26">
        <v>43025</v>
      </c>
    </row>
    <row r="1006" spans="1:9" x14ac:dyDescent="0.2">
      <c r="A1006">
        <v>993</v>
      </c>
      <c r="B1006" t="s">
        <v>2853</v>
      </c>
      <c r="C1006" t="s">
        <v>2854</v>
      </c>
      <c r="D1006" t="s">
        <v>4558</v>
      </c>
      <c r="E1006" t="s">
        <v>2855</v>
      </c>
      <c r="F1006">
        <v>6.72</v>
      </c>
      <c r="G1006" t="s">
        <v>610</v>
      </c>
      <c r="H1006" t="s">
        <v>14</v>
      </c>
      <c r="I1006" s="26">
        <v>42551</v>
      </c>
    </row>
    <row r="1007" spans="1:9" x14ac:dyDescent="0.2">
      <c r="A1007">
        <v>994</v>
      </c>
      <c r="B1007" t="s">
        <v>2856</v>
      </c>
      <c r="C1007" t="s">
        <v>2857</v>
      </c>
      <c r="D1007" t="s">
        <v>4558</v>
      </c>
      <c r="E1007" t="s">
        <v>2858</v>
      </c>
      <c r="F1007">
        <v>7.21</v>
      </c>
      <c r="G1007" t="s">
        <v>610</v>
      </c>
      <c r="H1007" t="s">
        <v>14</v>
      </c>
      <c r="I1007" s="26">
        <v>42551</v>
      </c>
    </row>
    <row r="1008" spans="1:9" x14ac:dyDescent="0.2">
      <c r="A1008">
        <v>995</v>
      </c>
      <c r="B1008" t="s">
        <v>2859</v>
      </c>
      <c r="C1008" t="s">
        <v>2860</v>
      </c>
      <c r="D1008" t="s">
        <v>4558</v>
      </c>
      <c r="E1008" t="s">
        <v>2861</v>
      </c>
      <c r="F1008">
        <v>2.6</v>
      </c>
      <c r="G1008" t="s">
        <v>610</v>
      </c>
      <c r="H1008" t="s">
        <v>14</v>
      </c>
      <c r="I1008" s="26">
        <v>42551</v>
      </c>
    </row>
    <row r="1009" spans="1:9" x14ac:dyDescent="0.2">
      <c r="A1009">
        <v>996</v>
      </c>
      <c r="B1009" t="s">
        <v>2862</v>
      </c>
      <c r="C1009" t="s">
        <v>2863</v>
      </c>
      <c r="D1009" t="s">
        <v>4558</v>
      </c>
      <c r="E1009" t="s">
        <v>2864</v>
      </c>
      <c r="F1009">
        <v>1.64</v>
      </c>
      <c r="G1009" t="s">
        <v>610</v>
      </c>
      <c r="H1009" t="s">
        <v>14</v>
      </c>
      <c r="I1009" s="26">
        <v>42339</v>
      </c>
    </row>
    <row r="1010" spans="1:9" x14ac:dyDescent="0.2">
      <c r="A1010">
        <v>997</v>
      </c>
      <c r="B1010" t="s">
        <v>2865</v>
      </c>
      <c r="C1010" t="s">
        <v>2866</v>
      </c>
      <c r="D1010" t="s">
        <v>4558</v>
      </c>
      <c r="E1010" t="s">
        <v>2867</v>
      </c>
      <c r="F1010">
        <v>3.61</v>
      </c>
      <c r="G1010" t="s">
        <v>610</v>
      </c>
      <c r="H1010" t="s">
        <v>14</v>
      </c>
      <c r="I1010" s="26">
        <v>43025</v>
      </c>
    </row>
    <row r="1011" spans="1:9" x14ac:dyDescent="0.2">
      <c r="A1011">
        <v>998</v>
      </c>
      <c r="B1011" t="s">
        <v>2865</v>
      </c>
      <c r="C1011" t="s">
        <v>2866</v>
      </c>
      <c r="D1011" t="s">
        <v>4558</v>
      </c>
      <c r="E1011" t="s">
        <v>2867</v>
      </c>
      <c r="F1011">
        <v>3.52</v>
      </c>
      <c r="G1011" t="s">
        <v>610</v>
      </c>
      <c r="H1011" t="s">
        <v>14</v>
      </c>
      <c r="I1011" s="26">
        <v>42339</v>
      </c>
    </row>
    <row r="1012" spans="1:9" x14ac:dyDescent="0.2">
      <c r="A1012">
        <v>999</v>
      </c>
      <c r="B1012" t="s">
        <v>2868</v>
      </c>
      <c r="C1012" t="s">
        <v>2869</v>
      </c>
      <c r="D1012" t="s">
        <v>4558</v>
      </c>
      <c r="E1012" t="s">
        <v>2870</v>
      </c>
      <c r="F1012">
        <v>3.93</v>
      </c>
      <c r="G1012" t="s">
        <v>610</v>
      </c>
      <c r="H1012" t="s">
        <v>14</v>
      </c>
      <c r="I1012" s="26">
        <v>42933</v>
      </c>
    </row>
    <row r="1013" spans="1:9" x14ac:dyDescent="0.2">
      <c r="A1013">
        <v>1000</v>
      </c>
      <c r="B1013" t="s">
        <v>2871</v>
      </c>
      <c r="C1013" t="s">
        <v>2872</v>
      </c>
      <c r="D1013" t="s">
        <v>4558</v>
      </c>
      <c r="E1013" t="s">
        <v>2873</v>
      </c>
      <c r="F1013">
        <v>3.73</v>
      </c>
      <c r="G1013" t="s">
        <v>610</v>
      </c>
      <c r="H1013" t="s">
        <v>14</v>
      </c>
      <c r="I1013" s="26">
        <v>42933</v>
      </c>
    </row>
    <row r="1014" spans="1:9" x14ac:dyDescent="0.2">
      <c r="A1014">
        <v>1001</v>
      </c>
      <c r="B1014" t="s">
        <v>2874</v>
      </c>
      <c r="C1014" t="s">
        <v>2875</v>
      </c>
      <c r="D1014" t="s">
        <v>4558</v>
      </c>
      <c r="E1014" t="s">
        <v>2876</v>
      </c>
      <c r="F1014">
        <v>8.25</v>
      </c>
      <c r="G1014" t="s">
        <v>610</v>
      </c>
      <c r="H1014" t="s">
        <v>14</v>
      </c>
      <c r="I1014" s="26">
        <v>43025</v>
      </c>
    </row>
    <row r="1015" spans="1:9" x14ac:dyDescent="0.2">
      <c r="A1015">
        <v>1002</v>
      </c>
      <c r="B1015" t="s">
        <v>2877</v>
      </c>
      <c r="C1015" t="s">
        <v>2878</v>
      </c>
      <c r="D1015" t="s">
        <v>4558</v>
      </c>
      <c r="E1015" t="s">
        <v>2879</v>
      </c>
      <c r="F1015">
        <v>3.63</v>
      </c>
      <c r="G1015" t="s">
        <v>610</v>
      </c>
      <c r="H1015" t="s">
        <v>14</v>
      </c>
      <c r="I1015" s="26">
        <v>42933</v>
      </c>
    </row>
    <row r="1016" spans="1:9" x14ac:dyDescent="0.2">
      <c r="A1016">
        <v>1003</v>
      </c>
      <c r="B1016" t="s">
        <v>2880</v>
      </c>
      <c r="C1016" t="s">
        <v>2881</v>
      </c>
      <c r="D1016" t="s">
        <v>4558</v>
      </c>
      <c r="E1016" t="s">
        <v>2882</v>
      </c>
      <c r="F1016">
        <v>3.45</v>
      </c>
      <c r="G1016" t="s">
        <v>610</v>
      </c>
      <c r="H1016" t="s">
        <v>14</v>
      </c>
      <c r="I1016" s="26">
        <v>43025</v>
      </c>
    </row>
    <row r="1017" spans="1:9" x14ac:dyDescent="0.2">
      <c r="A1017">
        <v>1004</v>
      </c>
      <c r="B1017" t="s">
        <v>2883</v>
      </c>
      <c r="C1017" t="s">
        <v>2884</v>
      </c>
      <c r="D1017" t="s">
        <v>4558</v>
      </c>
      <c r="E1017" t="s">
        <v>2885</v>
      </c>
      <c r="F1017">
        <v>5.95</v>
      </c>
      <c r="G1017" t="s">
        <v>610</v>
      </c>
      <c r="H1017" t="s">
        <v>14</v>
      </c>
      <c r="I1017" s="26">
        <v>42933</v>
      </c>
    </row>
    <row r="1018" spans="1:9" x14ac:dyDescent="0.2">
      <c r="A1018">
        <v>1005</v>
      </c>
      <c r="B1018" t="s">
        <v>2886</v>
      </c>
      <c r="C1018" t="s">
        <v>2887</v>
      </c>
      <c r="D1018" t="s">
        <v>4558</v>
      </c>
      <c r="E1018" t="s">
        <v>2888</v>
      </c>
      <c r="F1018">
        <v>6.55</v>
      </c>
      <c r="G1018" t="s">
        <v>610</v>
      </c>
      <c r="H1018" t="s">
        <v>14</v>
      </c>
      <c r="I1018" s="26">
        <v>43025</v>
      </c>
    </row>
    <row r="1019" spans="1:9" x14ac:dyDescent="0.2">
      <c r="A1019">
        <v>1006</v>
      </c>
      <c r="B1019" t="s">
        <v>2889</v>
      </c>
      <c r="C1019" t="s">
        <v>2890</v>
      </c>
      <c r="D1019" t="s">
        <v>4558</v>
      </c>
      <c r="E1019" t="s">
        <v>2891</v>
      </c>
      <c r="F1019">
        <v>1.18</v>
      </c>
      <c r="G1019" t="s">
        <v>610</v>
      </c>
      <c r="H1019" t="s">
        <v>14</v>
      </c>
      <c r="I1019" s="26">
        <v>43025</v>
      </c>
    </row>
    <row r="1020" spans="1:9" x14ac:dyDescent="0.2">
      <c r="A1020">
        <v>1007</v>
      </c>
      <c r="B1020" t="s">
        <v>2892</v>
      </c>
      <c r="C1020" t="s">
        <v>2893</v>
      </c>
      <c r="D1020" t="s">
        <v>4558</v>
      </c>
      <c r="E1020" t="s">
        <v>2894</v>
      </c>
      <c r="F1020">
        <v>1.1200000000000001</v>
      </c>
      <c r="G1020" t="s">
        <v>610</v>
      </c>
      <c r="H1020" t="s">
        <v>14</v>
      </c>
      <c r="I1020" s="26">
        <v>43025</v>
      </c>
    </row>
    <row r="1021" spans="1:9" x14ac:dyDescent="0.2">
      <c r="A1021">
        <v>1008</v>
      </c>
      <c r="B1021" t="s">
        <v>2895</v>
      </c>
      <c r="C1021" t="s">
        <v>2896</v>
      </c>
      <c r="D1021" t="s">
        <v>4558</v>
      </c>
      <c r="E1021" t="s">
        <v>2897</v>
      </c>
      <c r="F1021">
        <v>1.38</v>
      </c>
      <c r="G1021" t="s">
        <v>610</v>
      </c>
      <c r="H1021" t="s">
        <v>14</v>
      </c>
      <c r="I1021" s="26">
        <v>42933</v>
      </c>
    </row>
    <row r="1022" spans="1:9" x14ac:dyDescent="0.2">
      <c r="A1022">
        <v>1009</v>
      </c>
      <c r="B1022" t="s">
        <v>2898</v>
      </c>
      <c r="C1022" t="s">
        <v>2899</v>
      </c>
      <c r="D1022" t="s">
        <v>4558</v>
      </c>
      <c r="E1022" t="s">
        <v>2900</v>
      </c>
      <c r="F1022">
        <v>2.4300000000000002</v>
      </c>
      <c r="G1022" t="s">
        <v>610</v>
      </c>
      <c r="H1022" t="s">
        <v>14</v>
      </c>
      <c r="I1022" s="26">
        <v>42339</v>
      </c>
    </row>
    <row r="1023" spans="1:9" x14ac:dyDescent="0.2">
      <c r="A1023">
        <v>1010</v>
      </c>
      <c r="B1023" t="s">
        <v>2901</v>
      </c>
      <c r="C1023" t="s">
        <v>2902</v>
      </c>
      <c r="D1023" t="s">
        <v>4558</v>
      </c>
      <c r="E1023" t="s">
        <v>2903</v>
      </c>
      <c r="F1023">
        <v>2.5</v>
      </c>
      <c r="G1023" t="s">
        <v>610</v>
      </c>
      <c r="H1023" t="s">
        <v>14</v>
      </c>
      <c r="I1023" s="26">
        <v>42933</v>
      </c>
    </row>
    <row r="1024" spans="1:9" x14ac:dyDescent="0.2">
      <c r="A1024">
        <v>1011</v>
      </c>
      <c r="B1024" t="s">
        <v>2904</v>
      </c>
      <c r="C1024" t="s">
        <v>2905</v>
      </c>
      <c r="D1024" t="s">
        <v>4558</v>
      </c>
      <c r="E1024" t="s">
        <v>2906</v>
      </c>
      <c r="F1024">
        <v>1.74</v>
      </c>
      <c r="G1024" t="s">
        <v>610</v>
      </c>
      <c r="H1024" t="s">
        <v>14</v>
      </c>
      <c r="I1024" s="26">
        <v>42339</v>
      </c>
    </row>
    <row r="1025" spans="1:9" x14ac:dyDescent="0.2">
      <c r="A1025">
        <v>1012</v>
      </c>
      <c r="B1025" t="s">
        <v>2907</v>
      </c>
      <c r="C1025" t="s">
        <v>2908</v>
      </c>
      <c r="D1025" t="s">
        <v>4558</v>
      </c>
      <c r="E1025" t="s">
        <v>2909</v>
      </c>
      <c r="F1025">
        <v>2.99</v>
      </c>
      <c r="G1025" t="s">
        <v>610</v>
      </c>
      <c r="H1025" t="s">
        <v>14</v>
      </c>
      <c r="I1025" s="26">
        <v>43025</v>
      </c>
    </row>
    <row r="1026" spans="1:9" x14ac:dyDescent="0.2">
      <c r="A1026">
        <v>1013</v>
      </c>
      <c r="B1026" t="s">
        <v>2910</v>
      </c>
      <c r="C1026" t="s">
        <v>2911</v>
      </c>
      <c r="D1026" t="s">
        <v>4558</v>
      </c>
      <c r="E1026" t="s">
        <v>2912</v>
      </c>
      <c r="F1026">
        <v>2.4900000000000002</v>
      </c>
      <c r="G1026" t="s">
        <v>610</v>
      </c>
      <c r="H1026" t="s">
        <v>14</v>
      </c>
      <c r="I1026" s="26"/>
    </row>
    <row r="1027" spans="1:9" x14ac:dyDescent="0.2">
      <c r="A1027">
        <v>1014</v>
      </c>
      <c r="B1027" t="s">
        <v>2913</v>
      </c>
      <c r="C1027" t="s">
        <v>2914</v>
      </c>
      <c r="D1027" t="s">
        <v>1779</v>
      </c>
      <c r="E1027" t="s">
        <v>2915</v>
      </c>
      <c r="F1027">
        <v>8.5</v>
      </c>
      <c r="G1027" t="s">
        <v>1781</v>
      </c>
      <c r="H1027" t="s">
        <v>14</v>
      </c>
      <c r="I1027" s="26">
        <v>43025</v>
      </c>
    </row>
    <row r="1028" spans="1:9" x14ac:dyDescent="0.2">
      <c r="A1028">
        <v>1015</v>
      </c>
      <c r="B1028" t="s">
        <v>2916</v>
      </c>
      <c r="C1028" t="s">
        <v>2917</v>
      </c>
      <c r="D1028" t="s">
        <v>4558</v>
      </c>
      <c r="E1028" t="s">
        <v>2918</v>
      </c>
      <c r="F1028">
        <v>1.92</v>
      </c>
      <c r="G1028" t="s">
        <v>610</v>
      </c>
      <c r="H1028" t="s">
        <v>14</v>
      </c>
      <c r="I1028" s="26">
        <v>42339</v>
      </c>
    </row>
    <row r="1029" spans="1:9" x14ac:dyDescent="0.2">
      <c r="A1029">
        <v>1016</v>
      </c>
      <c r="B1029" t="s">
        <v>2919</v>
      </c>
      <c r="C1029" t="s">
        <v>2920</v>
      </c>
      <c r="D1029" t="s">
        <v>4558</v>
      </c>
      <c r="E1029" t="s">
        <v>2921</v>
      </c>
      <c r="F1029">
        <v>1.69</v>
      </c>
      <c r="G1029" t="s">
        <v>610</v>
      </c>
      <c r="H1029" t="s">
        <v>14</v>
      </c>
      <c r="I1029" s="26">
        <v>42933</v>
      </c>
    </row>
    <row r="1030" spans="1:9" x14ac:dyDescent="0.2">
      <c r="A1030">
        <v>1017</v>
      </c>
      <c r="B1030" t="s">
        <v>2919</v>
      </c>
      <c r="C1030" t="s">
        <v>2920</v>
      </c>
      <c r="D1030" t="s">
        <v>4558</v>
      </c>
      <c r="E1030" t="s">
        <v>2921</v>
      </c>
      <c r="F1030">
        <v>1.9</v>
      </c>
      <c r="G1030" t="s">
        <v>610</v>
      </c>
      <c r="H1030" t="s">
        <v>14</v>
      </c>
      <c r="I1030" s="26">
        <v>43171</v>
      </c>
    </row>
    <row r="1031" spans="1:9" x14ac:dyDescent="0.2">
      <c r="A1031">
        <v>1018</v>
      </c>
      <c r="B1031" t="s">
        <v>2922</v>
      </c>
      <c r="C1031" t="s">
        <v>2923</v>
      </c>
      <c r="D1031" t="s">
        <v>4558</v>
      </c>
      <c r="E1031" t="s">
        <v>2924</v>
      </c>
      <c r="F1031">
        <v>2.23</v>
      </c>
      <c r="G1031" t="s">
        <v>610</v>
      </c>
      <c r="H1031" t="s">
        <v>14</v>
      </c>
      <c r="I1031" s="26">
        <v>42339</v>
      </c>
    </row>
    <row r="1032" spans="1:9" x14ac:dyDescent="0.2">
      <c r="A1032">
        <v>1019</v>
      </c>
      <c r="B1032" t="s">
        <v>2925</v>
      </c>
      <c r="C1032" t="s">
        <v>2926</v>
      </c>
      <c r="D1032" t="s">
        <v>4558</v>
      </c>
      <c r="E1032" t="s">
        <v>2927</v>
      </c>
      <c r="F1032">
        <v>3.23</v>
      </c>
      <c r="G1032" t="s">
        <v>610</v>
      </c>
      <c r="H1032" t="s">
        <v>14</v>
      </c>
      <c r="I1032" s="26">
        <v>42492</v>
      </c>
    </row>
    <row r="1033" spans="1:9" x14ac:dyDescent="0.2">
      <c r="A1033">
        <v>1020</v>
      </c>
      <c r="B1033" t="s">
        <v>2928</v>
      </c>
      <c r="C1033" t="s">
        <v>2929</v>
      </c>
      <c r="D1033" t="s">
        <v>4558</v>
      </c>
      <c r="E1033" t="s">
        <v>2930</v>
      </c>
      <c r="F1033">
        <v>7.22</v>
      </c>
      <c r="G1033" t="s">
        <v>610</v>
      </c>
      <c r="H1033" t="s">
        <v>14</v>
      </c>
      <c r="I1033" s="26">
        <v>42492</v>
      </c>
    </row>
    <row r="1034" spans="1:9" x14ac:dyDescent="0.2">
      <c r="A1034">
        <v>1021</v>
      </c>
      <c r="B1034" t="s">
        <v>2931</v>
      </c>
      <c r="C1034" t="s">
        <v>2932</v>
      </c>
      <c r="D1034" t="s">
        <v>4558</v>
      </c>
      <c r="E1034" t="s">
        <v>2933</v>
      </c>
      <c r="F1034">
        <v>5.24</v>
      </c>
      <c r="G1034" t="s">
        <v>610</v>
      </c>
      <c r="H1034" t="s">
        <v>14</v>
      </c>
      <c r="I1034" s="26">
        <v>42492</v>
      </c>
    </row>
    <row r="1035" spans="1:9" x14ac:dyDescent="0.2">
      <c r="A1035">
        <v>1022</v>
      </c>
      <c r="B1035" t="s">
        <v>2934</v>
      </c>
      <c r="C1035" t="s">
        <v>2935</v>
      </c>
      <c r="D1035" t="s">
        <v>4558</v>
      </c>
      <c r="E1035" t="s">
        <v>2936</v>
      </c>
      <c r="F1035">
        <v>7.45</v>
      </c>
      <c r="G1035" t="s">
        <v>610</v>
      </c>
      <c r="H1035" t="s">
        <v>14</v>
      </c>
      <c r="I1035" s="26">
        <v>42492</v>
      </c>
    </row>
    <row r="1036" spans="1:9" x14ac:dyDescent="0.2">
      <c r="A1036">
        <v>1023</v>
      </c>
      <c r="B1036" t="s">
        <v>2937</v>
      </c>
      <c r="C1036" t="s">
        <v>2938</v>
      </c>
      <c r="D1036" t="s">
        <v>4558</v>
      </c>
      <c r="E1036" t="s">
        <v>2939</v>
      </c>
      <c r="F1036">
        <v>19.600000000000001</v>
      </c>
      <c r="G1036" t="s">
        <v>610</v>
      </c>
      <c r="H1036" t="s">
        <v>14</v>
      </c>
      <c r="I1036" s="26">
        <v>42492</v>
      </c>
    </row>
    <row r="1037" spans="1:9" x14ac:dyDescent="0.2">
      <c r="A1037">
        <v>1024</v>
      </c>
      <c r="B1037" t="s">
        <v>2940</v>
      </c>
      <c r="C1037" t="s">
        <v>2941</v>
      </c>
      <c r="D1037" t="s">
        <v>4558</v>
      </c>
      <c r="E1037" t="s">
        <v>2942</v>
      </c>
      <c r="F1037">
        <v>1.92</v>
      </c>
      <c r="G1037" t="s">
        <v>610</v>
      </c>
      <c r="H1037" t="s">
        <v>14</v>
      </c>
      <c r="I1037" s="26">
        <v>42492</v>
      </c>
    </row>
    <row r="1038" spans="1:9" x14ac:dyDescent="0.2">
      <c r="A1038">
        <v>1025</v>
      </c>
      <c r="B1038" t="s">
        <v>2943</v>
      </c>
      <c r="C1038" t="s">
        <v>2944</v>
      </c>
      <c r="D1038" t="s">
        <v>4558</v>
      </c>
      <c r="E1038" t="s">
        <v>2945</v>
      </c>
      <c r="F1038">
        <v>5.42</v>
      </c>
      <c r="G1038" t="s">
        <v>610</v>
      </c>
      <c r="H1038" t="s">
        <v>14</v>
      </c>
      <c r="I1038" s="26">
        <v>42492</v>
      </c>
    </row>
    <row r="1039" spans="1:9" x14ac:dyDescent="0.2">
      <c r="A1039">
        <v>1026</v>
      </c>
      <c r="B1039" t="s">
        <v>2946</v>
      </c>
      <c r="C1039" t="s">
        <v>2947</v>
      </c>
      <c r="D1039" t="s">
        <v>4558</v>
      </c>
      <c r="E1039" t="s">
        <v>2948</v>
      </c>
      <c r="F1039">
        <v>2.06</v>
      </c>
      <c r="G1039" t="s">
        <v>610</v>
      </c>
      <c r="H1039" t="s">
        <v>14</v>
      </c>
      <c r="I1039" s="26">
        <v>42933</v>
      </c>
    </row>
    <row r="1040" spans="1:9" x14ac:dyDescent="0.2">
      <c r="A1040">
        <v>1027</v>
      </c>
      <c r="B1040" t="s">
        <v>2949</v>
      </c>
      <c r="C1040" t="s">
        <v>2950</v>
      </c>
      <c r="D1040" t="s">
        <v>4558</v>
      </c>
      <c r="E1040" t="s">
        <v>2951</v>
      </c>
      <c r="F1040">
        <v>1.31</v>
      </c>
      <c r="G1040" t="s">
        <v>610</v>
      </c>
      <c r="H1040" t="s">
        <v>14</v>
      </c>
      <c r="I1040" s="26">
        <v>42492</v>
      </c>
    </row>
    <row r="1041" spans="1:9" x14ac:dyDescent="0.2">
      <c r="A1041">
        <v>1028</v>
      </c>
      <c r="B1041" t="s">
        <v>2952</v>
      </c>
      <c r="C1041" t="s">
        <v>2953</v>
      </c>
      <c r="D1041" t="s">
        <v>4558</v>
      </c>
      <c r="E1041" t="s">
        <v>2954</v>
      </c>
      <c r="F1041">
        <v>9.69</v>
      </c>
      <c r="G1041" t="s">
        <v>610</v>
      </c>
      <c r="H1041" t="s">
        <v>14</v>
      </c>
      <c r="I1041" s="26">
        <v>42492</v>
      </c>
    </row>
    <row r="1042" spans="1:9" x14ac:dyDescent="0.2">
      <c r="A1042">
        <v>1029</v>
      </c>
      <c r="B1042" t="s">
        <v>2955</v>
      </c>
      <c r="C1042" t="s">
        <v>2956</v>
      </c>
      <c r="D1042" t="s">
        <v>4558</v>
      </c>
      <c r="E1042" t="s">
        <v>2957</v>
      </c>
      <c r="F1042">
        <v>1.71</v>
      </c>
      <c r="G1042" t="s">
        <v>610</v>
      </c>
      <c r="H1042" t="s">
        <v>14</v>
      </c>
      <c r="I1042" s="26">
        <v>42492</v>
      </c>
    </row>
    <row r="1043" spans="1:9" x14ac:dyDescent="0.2">
      <c r="A1043">
        <v>1030</v>
      </c>
      <c r="B1043" t="s">
        <v>2958</v>
      </c>
      <c r="C1043" t="s">
        <v>2959</v>
      </c>
      <c r="D1043" t="s">
        <v>4558</v>
      </c>
      <c r="E1043" t="s">
        <v>2960</v>
      </c>
      <c r="F1043">
        <v>2.38</v>
      </c>
      <c r="G1043" t="s">
        <v>610</v>
      </c>
      <c r="H1043" t="s">
        <v>14</v>
      </c>
      <c r="I1043" s="26">
        <v>42492</v>
      </c>
    </row>
    <row r="1044" spans="1:9" x14ac:dyDescent="0.2">
      <c r="A1044">
        <v>1031</v>
      </c>
      <c r="B1044" t="s">
        <v>2961</v>
      </c>
      <c r="C1044" t="s">
        <v>2962</v>
      </c>
      <c r="D1044" t="s">
        <v>4563</v>
      </c>
      <c r="E1044" t="s">
        <v>2963</v>
      </c>
      <c r="F1044">
        <v>7.23</v>
      </c>
      <c r="G1044" t="s">
        <v>2381</v>
      </c>
      <c r="H1044" t="s">
        <v>14</v>
      </c>
      <c r="I1044" s="26">
        <v>42492</v>
      </c>
    </row>
    <row r="1045" spans="1:9" x14ac:dyDescent="0.2">
      <c r="A1045">
        <v>1032</v>
      </c>
      <c r="B1045" t="s">
        <v>2964</v>
      </c>
      <c r="C1045" t="s">
        <v>2965</v>
      </c>
      <c r="D1045" t="s">
        <v>4563</v>
      </c>
      <c r="E1045" t="s">
        <v>2966</v>
      </c>
      <c r="F1045">
        <v>17.47</v>
      </c>
      <c r="G1045" t="s">
        <v>2381</v>
      </c>
      <c r="H1045" t="s">
        <v>14</v>
      </c>
      <c r="I1045" s="26">
        <v>42492</v>
      </c>
    </row>
    <row r="1046" spans="1:9" x14ac:dyDescent="0.2">
      <c r="A1046">
        <v>1033</v>
      </c>
      <c r="B1046" t="s">
        <v>2967</v>
      </c>
      <c r="C1046" t="s">
        <v>2968</v>
      </c>
      <c r="D1046" t="s">
        <v>4563</v>
      </c>
      <c r="E1046" t="s">
        <v>2969</v>
      </c>
      <c r="F1046">
        <v>2.8530000000000002</v>
      </c>
      <c r="G1046" t="s">
        <v>2381</v>
      </c>
      <c r="H1046" t="s">
        <v>14</v>
      </c>
      <c r="I1046" s="26">
        <v>42492</v>
      </c>
    </row>
    <row r="1047" spans="1:9" x14ac:dyDescent="0.2">
      <c r="A1047">
        <v>1034</v>
      </c>
      <c r="B1047" t="s">
        <v>2970</v>
      </c>
      <c r="C1047" t="s">
        <v>2971</v>
      </c>
      <c r="D1047" t="s">
        <v>4563</v>
      </c>
      <c r="E1047" t="s">
        <v>2972</v>
      </c>
      <c r="F1047">
        <v>4.46</v>
      </c>
      <c r="G1047" t="s">
        <v>2381</v>
      </c>
      <c r="H1047" t="s">
        <v>14</v>
      </c>
      <c r="I1047" s="26">
        <v>42492</v>
      </c>
    </row>
    <row r="1048" spans="1:9" x14ac:dyDescent="0.2">
      <c r="A1048">
        <v>1035</v>
      </c>
      <c r="B1048" t="s">
        <v>2973</v>
      </c>
      <c r="C1048" t="s">
        <v>2974</v>
      </c>
      <c r="D1048" t="s">
        <v>4558</v>
      </c>
      <c r="E1048" t="s">
        <v>2975</v>
      </c>
      <c r="F1048">
        <v>9.8699999999999992</v>
      </c>
      <c r="G1048" t="s">
        <v>610</v>
      </c>
      <c r="H1048" t="s">
        <v>14</v>
      </c>
      <c r="I1048" s="26">
        <v>42492</v>
      </c>
    </row>
    <row r="1049" spans="1:9" x14ac:dyDescent="0.2">
      <c r="A1049">
        <v>1036</v>
      </c>
      <c r="B1049" t="s">
        <v>2976</v>
      </c>
      <c r="C1049" t="s">
        <v>2977</v>
      </c>
      <c r="D1049" t="s">
        <v>4558</v>
      </c>
      <c r="E1049" t="s">
        <v>2978</v>
      </c>
      <c r="F1049">
        <v>2.4900000000000002</v>
      </c>
      <c r="G1049" t="s">
        <v>610</v>
      </c>
      <c r="H1049" t="s">
        <v>14</v>
      </c>
      <c r="I1049" s="26">
        <v>42492</v>
      </c>
    </row>
    <row r="1050" spans="1:9" x14ac:dyDescent="0.2">
      <c r="A1050">
        <v>1037</v>
      </c>
      <c r="B1050" t="s">
        <v>2979</v>
      </c>
      <c r="C1050" t="s">
        <v>2980</v>
      </c>
      <c r="D1050" t="s">
        <v>4558</v>
      </c>
      <c r="E1050" t="s">
        <v>2981</v>
      </c>
      <c r="F1050">
        <v>8.57</v>
      </c>
      <c r="G1050" t="s">
        <v>610</v>
      </c>
      <c r="H1050" t="s">
        <v>14</v>
      </c>
      <c r="I1050" s="26">
        <v>43025</v>
      </c>
    </row>
    <row r="1051" spans="1:9" x14ac:dyDescent="0.2">
      <c r="A1051">
        <v>1038</v>
      </c>
      <c r="B1051" t="s">
        <v>2982</v>
      </c>
      <c r="C1051" t="s">
        <v>2983</v>
      </c>
      <c r="D1051" t="s">
        <v>4558</v>
      </c>
      <c r="E1051" t="s">
        <v>2984</v>
      </c>
      <c r="F1051">
        <v>3.53</v>
      </c>
      <c r="G1051" t="s">
        <v>610</v>
      </c>
      <c r="H1051" t="s">
        <v>14</v>
      </c>
      <c r="I1051" s="26">
        <v>43025</v>
      </c>
    </row>
    <row r="1052" spans="1:9" x14ac:dyDescent="0.2">
      <c r="A1052">
        <v>1039</v>
      </c>
      <c r="B1052" t="s">
        <v>2985</v>
      </c>
      <c r="C1052" t="s">
        <v>2986</v>
      </c>
      <c r="D1052" t="s">
        <v>4558</v>
      </c>
      <c r="E1052" t="s">
        <v>2987</v>
      </c>
      <c r="F1052">
        <v>9.64</v>
      </c>
      <c r="G1052" t="s">
        <v>610</v>
      </c>
      <c r="H1052" t="s">
        <v>14</v>
      </c>
      <c r="I1052" s="26">
        <v>43025</v>
      </c>
    </row>
    <row r="1053" spans="1:9" x14ac:dyDescent="0.2">
      <c r="A1053">
        <v>1040</v>
      </c>
      <c r="B1053" t="s">
        <v>2988</v>
      </c>
      <c r="C1053" t="s">
        <v>2989</v>
      </c>
      <c r="D1053" t="s">
        <v>4558</v>
      </c>
      <c r="E1053" t="s">
        <v>2990</v>
      </c>
      <c r="F1053">
        <v>6.41</v>
      </c>
      <c r="G1053" t="s">
        <v>610</v>
      </c>
      <c r="H1053" t="s">
        <v>14</v>
      </c>
      <c r="I1053" s="26"/>
    </row>
    <row r="1054" spans="1:9" x14ac:dyDescent="0.2">
      <c r="A1054">
        <v>1041</v>
      </c>
      <c r="B1054" t="s">
        <v>2991</v>
      </c>
      <c r="C1054" t="s">
        <v>2992</v>
      </c>
      <c r="D1054" t="s">
        <v>4558</v>
      </c>
      <c r="E1054" t="s">
        <v>2993</v>
      </c>
      <c r="F1054">
        <v>6.27</v>
      </c>
      <c r="G1054" t="s">
        <v>610</v>
      </c>
      <c r="H1054" t="s">
        <v>14</v>
      </c>
      <c r="I1054" s="26">
        <v>42933</v>
      </c>
    </row>
    <row r="1055" spans="1:9" x14ac:dyDescent="0.2">
      <c r="A1055">
        <v>1042</v>
      </c>
      <c r="B1055" t="s">
        <v>2994</v>
      </c>
      <c r="C1055" t="s">
        <v>2995</v>
      </c>
      <c r="D1055" t="s">
        <v>4558</v>
      </c>
      <c r="E1055" t="s">
        <v>2996</v>
      </c>
      <c r="F1055">
        <v>3.45</v>
      </c>
      <c r="G1055" t="s">
        <v>610</v>
      </c>
      <c r="H1055" t="s">
        <v>14</v>
      </c>
      <c r="I1055" s="26">
        <v>42933</v>
      </c>
    </row>
    <row r="1056" spans="1:9" x14ac:dyDescent="0.2">
      <c r="A1056">
        <v>1043</v>
      </c>
      <c r="B1056" t="s">
        <v>2997</v>
      </c>
      <c r="C1056" t="s">
        <v>2998</v>
      </c>
      <c r="D1056" t="s">
        <v>4558</v>
      </c>
      <c r="E1056" t="s">
        <v>2999</v>
      </c>
      <c r="F1056">
        <v>2.59</v>
      </c>
      <c r="G1056" t="s">
        <v>610</v>
      </c>
      <c r="H1056" t="s">
        <v>14</v>
      </c>
      <c r="I1056" s="26">
        <v>42339</v>
      </c>
    </row>
    <row r="1057" spans="1:9" x14ac:dyDescent="0.2">
      <c r="A1057">
        <v>1044</v>
      </c>
      <c r="B1057" t="s">
        <v>3000</v>
      </c>
      <c r="C1057" t="s">
        <v>3001</v>
      </c>
      <c r="D1057" t="s">
        <v>4558</v>
      </c>
      <c r="E1057" t="s">
        <v>3002</v>
      </c>
      <c r="F1057">
        <v>3.29</v>
      </c>
      <c r="G1057" t="s">
        <v>610</v>
      </c>
      <c r="H1057" t="s">
        <v>14</v>
      </c>
      <c r="I1057" s="26">
        <v>42933</v>
      </c>
    </row>
    <row r="1058" spans="1:9" x14ac:dyDescent="0.2">
      <c r="A1058">
        <v>1045</v>
      </c>
      <c r="B1058" t="s">
        <v>3003</v>
      </c>
      <c r="C1058" t="s">
        <v>3004</v>
      </c>
      <c r="D1058" t="s">
        <v>4558</v>
      </c>
      <c r="E1058" t="s">
        <v>3005</v>
      </c>
      <c r="F1058">
        <v>3.03</v>
      </c>
      <c r="G1058" t="s">
        <v>610</v>
      </c>
      <c r="H1058" t="s">
        <v>14</v>
      </c>
      <c r="I1058" s="26">
        <v>43025</v>
      </c>
    </row>
    <row r="1059" spans="1:9" x14ac:dyDescent="0.2">
      <c r="A1059">
        <v>1046</v>
      </c>
      <c r="B1059" t="s">
        <v>3006</v>
      </c>
      <c r="C1059" t="s">
        <v>3007</v>
      </c>
      <c r="D1059" t="s">
        <v>4558</v>
      </c>
      <c r="E1059" t="s">
        <v>3008</v>
      </c>
      <c r="F1059">
        <v>5.61</v>
      </c>
      <c r="G1059" t="s">
        <v>610</v>
      </c>
      <c r="H1059" t="s">
        <v>14</v>
      </c>
      <c r="I1059" s="26"/>
    </row>
    <row r="1060" spans="1:9" x14ac:dyDescent="0.2">
      <c r="A1060">
        <v>1047</v>
      </c>
      <c r="B1060" t="s">
        <v>3009</v>
      </c>
      <c r="C1060" t="s">
        <v>3010</v>
      </c>
      <c r="D1060" t="s">
        <v>4558</v>
      </c>
      <c r="E1060" t="s">
        <v>3011</v>
      </c>
      <c r="F1060">
        <v>10.54</v>
      </c>
      <c r="G1060" t="s">
        <v>610</v>
      </c>
      <c r="H1060" t="s">
        <v>14</v>
      </c>
      <c r="I1060" s="26">
        <v>43025</v>
      </c>
    </row>
    <row r="1061" spans="1:9" x14ac:dyDescent="0.2">
      <c r="A1061">
        <v>1048</v>
      </c>
      <c r="B1061" t="s">
        <v>3012</v>
      </c>
      <c r="C1061" t="s">
        <v>3013</v>
      </c>
      <c r="D1061" t="s">
        <v>4558</v>
      </c>
      <c r="E1061" t="s">
        <v>3014</v>
      </c>
      <c r="F1061">
        <v>10.48</v>
      </c>
      <c r="G1061" t="s">
        <v>610</v>
      </c>
      <c r="H1061" t="s">
        <v>14</v>
      </c>
      <c r="I1061" s="26">
        <v>42551</v>
      </c>
    </row>
    <row r="1062" spans="1:9" x14ac:dyDescent="0.2">
      <c r="A1062">
        <v>1049</v>
      </c>
      <c r="B1062" t="s">
        <v>3015</v>
      </c>
      <c r="C1062" t="s">
        <v>3016</v>
      </c>
      <c r="D1062" t="s">
        <v>4558</v>
      </c>
      <c r="E1062" t="s">
        <v>3017</v>
      </c>
      <c r="F1062">
        <v>17.09</v>
      </c>
      <c r="G1062" t="s">
        <v>610</v>
      </c>
      <c r="H1062" t="s">
        <v>14</v>
      </c>
      <c r="I1062" s="26">
        <v>42634</v>
      </c>
    </row>
    <row r="1063" spans="1:9" x14ac:dyDescent="0.2">
      <c r="A1063">
        <v>1050</v>
      </c>
      <c r="B1063" t="s">
        <v>3018</v>
      </c>
      <c r="C1063" t="s">
        <v>3019</v>
      </c>
      <c r="D1063" t="s">
        <v>1029</v>
      </c>
      <c r="E1063" t="s">
        <v>3020</v>
      </c>
      <c r="F1063">
        <v>75.17</v>
      </c>
      <c r="G1063" t="s">
        <v>1031</v>
      </c>
      <c r="H1063" t="s">
        <v>14</v>
      </c>
      <c r="I1063" s="26"/>
    </row>
    <row r="1064" spans="1:9" x14ac:dyDescent="0.2">
      <c r="A1064">
        <v>1051</v>
      </c>
      <c r="B1064" t="s">
        <v>3021</v>
      </c>
      <c r="C1064" t="s">
        <v>3019</v>
      </c>
      <c r="D1064" t="s">
        <v>1029</v>
      </c>
      <c r="E1064" t="s">
        <v>3022</v>
      </c>
      <c r="F1064">
        <v>69.25</v>
      </c>
      <c r="G1064" t="s">
        <v>1031</v>
      </c>
      <c r="H1064" t="s">
        <v>14</v>
      </c>
      <c r="I1064" s="26"/>
    </row>
    <row r="1065" spans="1:9" x14ac:dyDescent="0.2">
      <c r="A1065">
        <v>1052</v>
      </c>
      <c r="B1065" t="s">
        <v>3023</v>
      </c>
      <c r="C1065" t="s">
        <v>3024</v>
      </c>
      <c r="D1065" t="s">
        <v>4558</v>
      </c>
      <c r="E1065" t="s">
        <v>3025</v>
      </c>
      <c r="F1065">
        <v>0.77</v>
      </c>
      <c r="G1065" t="s">
        <v>610</v>
      </c>
      <c r="H1065" t="s">
        <v>14</v>
      </c>
      <c r="I1065" s="26">
        <v>43217</v>
      </c>
    </row>
    <row r="1066" spans="1:9" x14ac:dyDescent="0.2">
      <c r="A1066">
        <v>1053</v>
      </c>
      <c r="B1066" t="s">
        <v>3026</v>
      </c>
      <c r="C1066" t="s">
        <v>3027</v>
      </c>
      <c r="D1066" t="s">
        <v>4558</v>
      </c>
      <c r="E1066" t="s">
        <v>3028</v>
      </c>
      <c r="F1066">
        <v>0.99</v>
      </c>
      <c r="G1066" t="s">
        <v>610</v>
      </c>
      <c r="H1066" t="s">
        <v>14</v>
      </c>
      <c r="I1066" s="26">
        <v>42307</v>
      </c>
    </row>
    <row r="1067" spans="1:9" x14ac:dyDescent="0.2">
      <c r="A1067">
        <v>1054</v>
      </c>
      <c r="B1067" t="s">
        <v>3029</v>
      </c>
      <c r="C1067" t="s">
        <v>3030</v>
      </c>
      <c r="D1067" t="s">
        <v>4558</v>
      </c>
      <c r="E1067" t="s">
        <v>3031</v>
      </c>
      <c r="F1067">
        <v>1.3</v>
      </c>
      <c r="G1067" t="s">
        <v>610</v>
      </c>
      <c r="H1067" t="s">
        <v>14</v>
      </c>
      <c r="I1067" s="26">
        <v>42307</v>
      </c>
    </row>
    <row r="1068" spans="1:9" x14ac:dyDescent="0.2">
      <c r="A1068">
        <v>1055</v>
      </c>
      <c r="B1068" t="s">
        <v>3032</v>
      </c>
      <c r="C1068" t="s">
        <v>3033</v>
      </c>
      <c r="D1068" t="s">
        <v>4558</v>
      </c>
      <c r="E1068" t="s">
        <v>3034</v>
      </c>
      <c r="F1068">
        <v>1.84</v>
      </c>
      <c r="G1068" t="s">
        <v>610</v>
      </c>
      <c r="H1068" t="s">
        <v>14</v>
      </c>
      <c r="I1068" s="26">
        <v>42307</v>
      </c>
    </row>
    <row r="1069" spans="1:9" x14ac:dyDescent="0.2">
      <c r="A1069">
        <v>1056</v>
      </c>
      <c r="B1069" t="s">
        <v>3035</v>
      </c>
      <c r="C1069" t="s">
        <v>3036</v>
      </c>
      <c r="D1069" t="s">
        <v>4558</v>
      </c>
      <c r="E1069" t="s">
        <v>3037</v>
      </c>
      <c r="F1069">
        <v>1.92</v>
      </c>
      <c r="G1069" t="s">
        <v>610</v>
      </c>
      <c r="H1069" t="s">
        <v>14</v>
      </c>
      <c r="I1069" s="26">
        <v>42307</v>
      </c>
    </row>
    <row r="1070" spans="1:9" x14ac:dyDescent="0.2">
      <c r="A1070">
        <v>1057</v>
      </c>
      <c r="B1070" t="s">
        <v>3038</v>
      </c>
      <c r="C1070" t="s">
        <v>3039</v>
      </c>
      <c r="D1070" t="s">
        <v>4558</v>
      </c>
      <c r="E1070" t="s">
        <v>3040</v>
      </c>
      <c r="F1070">
        <v>2.79</v>
      </c>
      <c r="G1070" t="s">
        <v>610</v>
      </c>
      <c r="H1070" t="s">
        <v>14</v>
      </c>
      <c r="I1070" s="26">
        <v>42307</v>
      </c>
    </row>
    <row r="1071" spans="1:9" x14ac:dyDescent="0.2">
      <c r="A1071">
        <v>1058</v>
      </c>
      <c r="B1071" t="s">
        <v>3041</v>
      </c>
      <c r="C1071" t="s">
        <v>3042</v>
      </c>
      <c r="D1071" t="s">
        <v>4558</v>
      </c>
      <c r="E1071" t="s">
        <v>3043</v>
      </c>
      <c r="F1071">
        <v>3.74</v>
      </c>
      <c r="G1071" t="s">
        <v>610</v>
      </c>
      <c r="H1071" t="s">
        <v>14</v>
      </c>
      <c r="I1071" s="26">
        <v>42307</v>
      </c>
    </row>
    <row r="1072" spans="1:9" x14ac:dyDescent="0.2">
      <c r="A1072">
        <v>1059</v>
      </c>
      <c r="B1072" t="s">
        <v>3044</v>
      </c>
      <c r="C1072" t="s">
        <v>3045</v>
      </c>
      <c r="D1072" t="s">
        <v>4558</v>
      </c>
      <c r="E1072" t="s">
        <v>3046</v>
      </c>
      <c r="F1072">
        <v>4.55</v>
      </c>
      <c r="G1072" t="s">
        <v>610</v>
      </c>
      <c r="H1072" t="s">
        <v>14</v>
      </c>
      <c r="I1072" s="26">
        <v>42551</v>
      </c>
    </row>
    <row r="1073" spans="1:9" x14ac:dyDescent="0.2">
      <c r="A1073">
        <v>1060</v>
      </c>
      <c r="B1073" t="s">
        <v>3047</v>
      </c>
      <c r="C1073" t="s">
        <v>3048</v>
      </c>
      <c r="D1073" t="s">
        <v>4558</v>
      </c>
      <c r="E1073" t="s">
        <v>3049</v>
      </c>
      <c r="F1073">
        <v>6.99</v>
      </c>
      <c r="G1073" t="s">
        <v>610</v>
      </c>
      <c r="H1073" t="s">
        <v>14</v>
      </c>
      <c r="I1073" s="26">
        <v>42492</v>
      </c>
    </row>
    <row r="1074" spans="1:9" x14ac:dyDescent="0.2">
      <c r="A1074">
        <v>1061</v>
      </c>
      <c r="B1074" t="s">
        <v>3050</v>
      </c>
      <c r="C1074" t="s">
        <v>3051</v>
      </c>
      <c r="D1074" t="s">
        <v>4558</v>
      </c>
      <c r="E1074" t="s">
        <v>3052</v>
      </c>
      <c r="F1074">
        <v>11.06</v>
      </c>
      <c r="G1074" t="s">
        <v>610</v>
      </c>
      <c r="H1074" t="s">
        <v>14</v>
      </c>
      <c r="I1074" s="26">
        <v>42551</v>
      </c>
    </row>
    <row r="1075" spans="1:9" x14ac:dyDescent="0.2">
      <c r="A1075">
        <v>1062</v>
      </c>
      <c r="B1075" t="s">
        <v>3053</v>
      </c>
      <c r="C1075" t="s">
        <v>3054</v>
      </c>
      <c r="D1075" t="s">
        <v>26</v>
      </c>
      <c r="E1075" t="s">
        <v>3055</v>
      </c>
      <c r="F1075">
        <v>49.26</v>
      </c>
      <c r="G1075" t="s">
        <v>27</v>
      </c>
      <c r="H1075" t="s">
        <v>14</v>
      </c>
      <c r="I1075" s="26"/>
    </row>
    <row r="1076" spans="1:9" x14ac:dyDescent="0.2">
      <c r="A1076">
        <v>1063</v>
      </c>
      <c r="B1076" t="s">
        <v>3056</v>
      </c>
      <c r="C1076" t="s">
        <v>3057</v>
      </c>
      <c r="D1076" t="s">
        <v>26</v>
      </c>
      <c r="E1076" t="s">
        <v>3058</v>
      </c>
      <c r="F1076">
        <v>8.4499999999999993</v>
      </c>
      <c r="G1076" t="s">
        <v>27</v>
      </c>
      <c r="H1076" t="s">
        <v>14</v>
      </c>
      <c r="I1076" s="26">
        <v>42339</v>
      </c>
    </row>
    <row r="1077" spans="1:9" x14ac:dyDescent="0.2">
      <c r="A1077">
        <v>1064</v>
      </c>
      <c r="B1077" t="s">
        <v>3059</v>
      </c>
      <c r="C1077" t="s">
        <v>3060</v>
      </c>
      <c r="D1077" t="s">
        <v>2203</v>
      </c>
      <c r="E1077" t="s">
        <v>3061</v>
      </c>
      <c r="F1077">
        <v>0.373</v>
      </c>
      <c r="G1077" t="s">
        <v>2205</v>
      </c>
      <c r="H1077" t="s">
        <v>14</v>
      </c>
      <c r="I1077" s="26">
        <v>42289</v>
      </c>
    </row>
    <row r="1078" spans="1:9" x14ac:dyDescent="0.2">
      <c r="A1078">
        <v>1065</v>
      </c>
      <c r="B1078" t="s">
        <v>3062</v>
      </c>
      <c r="C1078" t="s">
        <v>3063</v>
      </c>
      <c r="D1078" t="s">
        <v>2203</v>
      </c>
      <c r="E1078" t="s">
        <v>3064</v>
      </c>
      <c r="F1078">
        <v>0.38</v>
      </c>
      <c r="G1078" t="s">
        <v>2205</v>
      </c>
      <c r="H1078" t="s">
        <v>14</v>
      </c>
      <c r="I1078" s="26">
        <v>43185</v>
      </c>
    </row>
    <row r="1079" spans="1:9" x14ac:dyDescent="0.2">
      <c r="A1079">
        <v>1066</v>
      </c>
      <c r="B1079" t="s">
        <v>4555</v>
      </c>
      <c r="C1079" t="s">
        <v>4556</v>
      </c>
      <c r="D1079" t="s">
        <v>4557</v>
      </c>
      <c r="E1079" t="s">
        <v>4555</v>
      </c>
      <c r="F1079">
        <v>1.7317</v>
      </c>
      <c r="G1079" t="s">
        <v>14</v>
      </c>
      <c r="H1079" t="s">
        <v>14</v>
      </c>
      <c r="I1079" s="26">
        <v>43249</v>
      </c>
    </row>
    <row r="1080" spans="1:9" x14ac:dyDescent="0.2">
      <c r="A1080">
        <v>1067</v>
      </c>
      <c r="B1080" t="s">
        <v>3065</v>
      </c>
      <c r="C1080" t="s">
        <v>3066</v>
      </c>
      <c r="D1080" t="s">
        <v>26</v>
      </c>
      <c r="E1080" t="s">
        <v>3067</v>
      </c>
      <c r="F1080">
        <v>2.9</v>
      </c>
      <c r="G1080" t="s">
        <v>27</v>
      </c>
      <c r="H1080" t="s">
        <v>14</v>
      </c>
      <c r="I1080" s="26">
        <v>42339</v>
      </c>
    </row>
    <row r="1081" spans="1:9" x14ac:dyDescent="0.2">
      <c r="A1081">
        <v>1068</v>
      </c>
      <c r="B1081" t="s">
        <v>3068</v>
      </c>
      <c r="C1081" t="s">
        <v>3069</v>
      </c>
      <c r="D1081" t="s">
        <v>26</v>
      </c>
      <c r="E1081" t="s">
        <v>3070</v>
      </c>
      <c r="F1081">
        <v>2.71</v>
      </c>
      <c r="G1081" t="s">
        <v>27</v>
      </c>
      <c r="H1081" t="s">
        <v>14</v>
      </c>
      <c r="I1081" s="26">
        <v>43217</v>
      </c>
    </row>
    <row r="1082" spans="1:9" x14ac:dyDescent="0.2">
      <c r="A1082">
        <v>1069</v>
      </c>
      <c r="B1082" t="s">
        <v>3071</v>
      </c>
      <c r="C1082" t="s">
        <v>3072</v>
      </c>
      <c r="D1082" t="s">
        <v>26</v>
      </c>
      <c r="E1082" t="s">
        <v>3073</v>
      </c>
      <c r="F1082">
        <v>10.11</v>
      </c>
      <c r="G1082" t="s">
        <v>27</v>
      </c>
      <c r="H1082" t="s">
        <v>14</v>
      </c>
      <c r="I1082" s="26">
        <v>43217</v>
      </c>
    </row>
    <row r="1083" spans="1:9" x14ac:dyDescent="0.2">
      <c r="A1083">
        <v>1070</v>
      </c>
      <c r="B1083" t="s">
        <v>3074</v>
      </c>
      <c r="C1083" t="s">
        <v>3075</v>
      </c>
      <c r="D1083" t="s">
        <v>2203</v>
      </c>
      <c r="E1083" t="s">
        <v>3076</v>
      </c>
      <c r="F1083">
        <v>0.42</v>
      </c>
      <c r="G1083" t="s">
        <v>2205</v>
      </c>
      <c r="H1083" t="s">
        <v>14</v>
      </c>
      <c r="I1083" s="26">
        <v>43185</v>
      </c>
    </row>
    <row r="1084" spans="1:9" x14ac:dyDescent="0.2">
      <c r="A1084">
        <v>1071</v>
      </c>
      <c r="B1084" t="s">
        <v>3077</v>
      </c>
      <c r="C1084" t="s">
        <v>3078</v>
      </c>
      <c r="D1084" t="s">
        <v>40</v>
      </c>
      <c r="E1084" t="s">
        <v>3079</v>
      </c>
      <c r="F1084">
        <v>12.92</v>
      </c>
      <c r="G1084" t="s">
        <v>42</v>
      </c>
      <c r="H1084" t="s">
        <v>14</v>
      </c>
      <c r="I1084" s="26"/>
    </row>
    <row r="1085" spans="1:9" x14ac:dyDescent="0.2">
      <c r="A1085">
        <v>1072</v>
      </c>
      <c r="B1085" t="s">
        <v>3080</v>
      </c>
      <c r="C1085" t="s">
        <v>3081</v>
      </c>
      <c r="D1085" t="s">
        <v>26</v>
      </c>
      <c r="E1085" t="s">
        <v>3082</v>
      </c>
      <c r="F1085">
        <v>7.15</v>
      </c>
      <c r="G1085" t="s">
        <v>27</v>
      </c>
      <c r="H1085" t="s">
        <v>14</v>
      </c>
      <c r="I1085" s="26">
        <v>42615</v>
      </c>
    </row>
    <row r="1086" spans="1:9" x14ac:dyDescent="0.2">
      <c r="A1086">
        <v>1073</v>
      </c>
      <c r="B1086" t="s">
        <v>3083</v>
      </c>
      <c r="C1086" t="s">
        <v>3084</v>
      </c>
      <c r="D1086" t="s">
        <v>26</v>
      </c>
      <c r="E1086" t="s">
        <v>3085</v>
      </c>
      <c r="F1086">
        <v>60.3</v>
      </c>
      <c r="G1086" t="s">
        <v>27</v>
      </c>
      <c r="H1086" t="s">
        <v>14</v>
      </c>
      <c r="I1086" s="26">
        <v>42615</v>
      </c>
    </row>
    <row r="1087" spans="1:9" x14ac:dyDescent="0.2">
      <c r="A1087">
        <v>1074</v>
      </c>
      <c r="B1087" t="s">
        <v>3086</v>
      </c>
      <c r="C1087" t="s">
        <v>3087</v>
      </c>
      <c r="D1087" t="s">
        <v>26</v>
      </c>
      <c r="E1087" t="s">
        <v>3088</v>
      </c>
      <c r="F1087">
        <v>5.92</v>
      </c>
      <c r="G1087" t="s">
        <v>27</v>
      </c>
      <c r="H1087" t="s">
        <v>14</v>
      </c>
      <c r="I1087" s="26">
        <v>42339</v>
      </c>
    </row>
    <row r="1088" spans="1:9" x14ac:dyDescent="0.2">
      <c r="A1088">
        <v>1075</v>
      </c>
      <c r="B1088" t="s">
        <v>3089</v>
      </c>
      <c r="C1088" t="s">
        <v>3090</v>
      </c>
      <c r="D1088" t="s">
        <v>26</v>
      </c>
      <c r="E1088" t="s">
        <v>3091</v>
      </c>
      <c r="F1088">
        <v>1.9</v>
      </c>
      <c r="G1088" t="s">
        <v>27</v>
      </c>
      <c r="H1088" t="s">
        <v>14</v>
      </c>
      <c r="I1088" s="26"/>
    </row>
    <row r="1089" spans="1:9" x14ac:dyDescent="0.2">
      <c r="A1089">
        <v>1076</v>
      </c>
      <c r="B1089" t="s">
        <v>4506</v>
      </c>
      <c r="C1089" t="s">
        <v>4516</v>
      </c>
      <c r="D1089" t="s">
        <v>26</v>
      </c>
      <c r="E1089" t="s">
        <v>14</v>
      </c>
      <c r="F1089">
        <v>0.28000000000000003</v>
      </c>
      <c r="G1089" t="s">
        <v>27</v>
      </c>
      <c r="H1089" t="s">
        <v>14</v>
      </c>
      <c r="I1089" s="26">
        <v>43235</v>
      </c>
    </row>
    <row r="1090" spans="1:9" x14ac:dyDescent="0.2">
      <c r="A1090">
        <v>1077</v>
      </c>
      <c r="B1090" t="s">
        <v>3092</v>
      </c>
      <c r="C1090" t="s">
        <v>3093</v>
      </c>
      <c r="D1090" t="s">
        <v>26</v>
      </c>
      <c r="E1090" t="s">
        <v>3094</v>
      </c>
      <c r="F1090">
        <v>68.55</v>
      </c>
      <c r="G1090" t="s">
        <v>27</v>
      </c>
      <c r="H1090" t="s">
        <v>14</v>
      </c>
      <c r="I1090" s="26">
        <v>42615</v>
      </c>
    </row>
    <row r="1091" spans="1:9" x14ac:dyDescent="0.2">
      <c r="A1091">
        <v>1078</v>
      </c>
      <c r="B1091" t="s">
        <v>3095</v>
      </c>
      <c r="C1091" t="s">
        <v>3096</v>
      </c>
      <c r="D1091" t="s">
        <v>26</v>
      </c>
      <c r="E1091" t="s">
        <v>3097</v>
      </c>
      <c r="F1091">
        <v>29.34</v>
      </c>
      <c r="G1091" t="s">
        <v>27</v>
      </c>
      <c r="H1091" t="s">
        <v>14</v>
      </c>
      <c r="I1091" s="26">
        <v>42339</v>
      </c>
    </row>
    <row r="1092" spans="1:9" x14ac:dyDescent="0.2">
      <c r="A1092">
        <v>1079</v>
      </c>
      <c r="B1092" t="s">
        <v>3098</v>
      </c>
      <c r="C1092" t="s">
        <v>3099</v>
      </c>
      <c r="D1092" t="s">
        <v>26</v>
      </c>
      <c r="E1092" t="s">
        <v>3100</v>
      </c>
      <c r="F1092">
        <v>3.83</v>
      </c>
      <c r="G1092" t="s">
        <v>27</v>
      </c>
      <c r="H1092" t="s">
        <v>14</v>
      </c>
      <c r="I1092" s="26"/>
    </row>
    <row r="1093" spans="1:9" x14ac:dyDescent="0.2">
      <c r="A1093">
        <v>1080</v>
      </c>
      <c r="B1093" t="s">
        <v>4546</v>
      </c>
      <c r="C1093" t="s">
        <v>4547</v>
      </c>
      <c r="D1093" t="s">
        <v>26</v>
      </c>
      <c r="E1093" t="s">
        <v>4548</v>
      </c>
      <c r="F1093">
        <v>20.02</v>
      </c>
      <c r="G1093" t="s">
        <v>27</v>
      </c>
      <c r="H1093" t="s">
        <v>14</v>
      </c>
      <c r="I1093" s="26">
        <v>43245</v>
      </c>
    </row>
    <row r="1094" spans="1:9" x14ac:dyDescent="0.2">
      <c r="A1094">
        <v>1081</v>
      </c>
      <c r="B1094" t="s">
        <v>3101</v>
      </c>
      <c r="C1094" t="s">
        <v>3102</v>
      </c>
      <c r="D1094" t="s">
        <v>26</v>
      </c>
      <c r="E1094" t="s">
        <v>3103</v>
      </c>
      <c r="F1094">
        <v>18.100000000000001</v>
      </c>
      <c r="G1094" t="s">
        <v>27</v>
      </c>
      <c r="H1094" t="s">
        <v>14</v>
      </c>
      <c r="I1094" s="26">
        <v>42339</v>
      </c>
    </row>
    <row r="1095" spans="1:9" x14ac:dyDescent="0.2">
      <c r="A1095">
        <v>1082</v>
      </c>
      <c r="B1095" t="s">
        <v>3104</v>
      </c>
      <c r="C1095" t="s">
        <v>3105</v>
      </c>
      <c r="D1095" t="s">
        <v>26</v>
      </c>
      <c r="E1095" t="s">
        <v>3106</v>
      </c>
      <c r="F1095">
        <v>14.21</v>
      </c>
      <c r="G1095" t="s">
        <v>27</v>
      </c>
      <c r="H1095" t="s">
        <v>14</v>
      </c>
      <c r="I1095" s="26">
        <v>42933</v>
      </c>
    </row>
    <row r="1096" spans="1:9" x14ac:dyDescent="0.2">
      <c r="A1096">
        <v>1083</v>
      </c>
      <c r="B1096" t="s">
        <v>3107</v>
      </c>
      <c r="C1096" t="s">
        <v>3108</v>
      </c>
      <c r="D1096" t="s">
        <v>26</v>
      </c>
      <c r="E1096" t="s">
        <v>3109</v>
      </c>
      <c r="F1096">
        <v>8.27</v>
      </c>
      <c r="G1096" t="s">
        <v>27</v>
      </c>
      <c r="H1096" t="s">
        <v>14</v>
      </c>
      <c r="I1096" s="26"/>
    </row>
    <row r="1097" spans="1:9" x14ac:dyDescent="0.2">
      <c r="A1097">
        <v>1084</v>
      </c>
      <c r="B1097" t="s">
        <v>3110</v>
      </c>
      <c r="C1097" t="s">
        <v>3111</v>
      </c>
      <c r="D1097" t="s">
        <v>26</v>
      </c>
      <c r="E1097" t="s">
        <v>3112</v>
      </c>
      <c r="F1097">
        <v>18.989999999999998</v>
      </c>
      <c r="G1097" t="s">
        <v>27</v>
      </c>
      <c r="H1097" t="s">
        <v>14</v>
      </c>
      <c r="I1097" s="26">
        <v>42289</v>
      </c>
    </row>
    <row r="1098" spans="1:9" x14ac:dyDescent="0.2">
      <c r="A1098">
        <v>1085</v>
      </c>
      <c r="B1098" t="s">
        <v>3113</v>
      </c>
      <c r="C1098" t="s">
        <v>3114</v>
      </c>
      <c r="D1098" t="s">
        <v>26</v>
      </c>
      <c r="E1098" t="s">
        <v>3115</v>
      </c>
      <c r="F1098">
        <v>70.680000000000007</v>
      </c>
      <c r="G1098" t="s">
        <v>27</v>
      </c>
      <c r="H1098" t="s">
        <v>14</v>
      </c>
      <c r="I1098" s="26"/>
    </row>
    <row r="1099" spans="1:9" x14ac:dyDescent="0.2">
      <c r="A1099">
        <v>1086</v>
      </c>
      <c r="B1099" t="s">
        <v>3116</v>
      </c>
      <c r="C1099" t="s">
        <v>3117</v>
      </c>
      <c r="D1099" t="s">
        <v>26</v>
      </c>
      <c r="E1099" t="s">
        <v>3118</v>
      </c>
      <c r="F1099">
        <v>6.88</v>
      </c>
      <c r="G1099" t="s">
        <v>27</v>
      </c>
      <c r="H1099" t="s">
        <v>14</v>
      </c>
      <c r="I1099" s="26">
        <v>42339</v>
      </c>
    </row>
    <row r="1100" spans="1:9" x14ac:dyDescent="0.2">
      <c r="A1100">
        <v>1087</v>
      </c>
      <c r="B1100" t="s">
        <v>3119</v>
      </c>
      <c r="C1100" t="s">
        <v>3120</v>
      </c>
      <c r="D1100" t="s">
        <v>26</v>
      </c>
      <c r="E1100" t="s">
        <v>3121</v>
      </c>
      <c r="F1100">
        <v>52.86</v>
      </c>
      <c r="G1100" t="s">
        <v>27</v>
      </c>
      <c r="H1100" t="s">
        <v>14</v>
      </c>
      <c r="I1100" s="26"/>
    </row>
    <row r="1101" spans="1:9" x14ac:dyDescent="0.2">
      <c r="A1101">
        <v>1088</v>
      </c>
      <c r="B1101" t="s">
        <v>3122</v>
      </c>
      <c r="C1101" t="s">
        <v>3123</v>
      </c>
      <c r="D1101" t="s">
        <v>26</v>
      </c>
      <c r="E1101" t="s">
        <v>3124</v>
      </c>
      <c r="F1101">
        <v>3.46</v>
      </c>
      <c r="G1101" t="s">
        <v>27</v>
      </c>
      <c r="H1101" t="s">
        <v>14</v>
      </c>
      <c r="I1101" s="26">
        <v>42523</v>
      </c>
    </row>
    <row r="1102" spans="1:9" x14ac:dyDescent="0.2">
      <c r="A1102">
        <v>1089</v>
      </c>
      <c r="B1102" t="s">
        <v>3125</v>
      </c>
      <c r="C1102" t="s">
        <v>3126</v>
      </c>
      <c r="D1102" t="s">
        <v>26</v>
      </c>
      <c r="E1102" t="s">
        <v>3127</v>
      </c>
      <c r="F1102">
        <v>74.709999999999994</v>
      </c>
      <c r="G1102" t="s">
        <v>27</v>
      </c>
      <c r="H1102" t="s">
        <v>14</v>
      </c>
      <c r="I1102" s="26"/>
    </row>
    <row r="1103" spans="1:9" x14ac:dyDescent="0.2">
      <c r="A1103">
        <v>1090</v>
      </c>
      <c r="B1103" t="s">
        <v>3128</v>
      </c>
      <c r="C1103" t="s">
        <v>3129</v>
      </c>
      <c r="D1103" t="s">
        <v>26</v>
      </c>
      <c r="E1103" t="s">
        <v>3130</v>
      </c>
      <c r="F1103">
        <v>84.98</v>
      </c>
      <c r="G1103" t="s">
        <v>27</v>
      </c>
      <c r="H1103" t="s">
        <v>14</v>
      </c>
      <c r="I1103" s="26"/>
    </row>
    <row r="1104" spans="1:9" x14ac:dyDescent="0.2">
      <c r="A1104">
        <v>1091</v>
      </c>
      <c r="B1104" t="s">
        <v>3131</v>
      </c>
      <c r="C1104" t="s">
        <v>3132</v>
      </c>
      <c r="D1104" t="s">
        <v>415</v>
      </c>
      <c r="E1104" t="s">
        <v>3133</v>
      </c>
      <c r="F1104">
        <v>33.56</v>
      </c>
      <c r="G1104" t="s">
        <v>417</v>
      </c>
      <c r="H1104" t="s">
        <v>14</v>
      </c>
      <c r="I1104" s="26">
        <v>42531</v>
      </c>
    </row>
    <row r="1105" spans="1:9" x14ac:dyDescent="0.2">
      <c r="A1105">
        <v>1092</v>
      </c>
      <c r="B1105" t="s">
        <v>3134</v>
      </c>
      <c r="C1105" t="s">
        <v>3135</v>
      </c>
      <c r="D1105" t="s">
        <v>4558</v>
      </c>
      <c r="E1105" t="s">
        <v>3136</v>
      </c>
      <c r="F1105">
        <v>0.31559999999999999</v>
      </c>
      <c r="G1105" t="s">
        <v>610</v>
      </c>
      <c r="H1105" t="s">
        <v>14</v>
      </c>
      <c r="I1105" s="26">
        <v>42422</v>
      </c>
    </row>
    <row r="1106" spans="1:9" x14ac:dyDescent="0.2">
      <c r="A1106">
        <v>1093</v>
      </c>
      <c r="B1106" t="s">
        <v>3137</v>
      </c>
      <c r="C1106" t="s">
        <v>3138</v>
      </c>
      <c r="D1106" t="s">
        <v>4558</v>
      </c>
      <c r="E1106" t="s">
        <v>3139</v>
      </c>
      <c r="F1106">
        <v>0.58220000000000005</v>
      </c>
      <c r="G1106" t="s">
        <v>610</v>
      </c>
      <c r="H1106" t="s">
        <v>14</v>
      </c>
      <c r="I1106" s="26">
        <v>43217</v>
      </c>
    </row>
    <row r="1107" spans="1:9" x14ac:dyDescent="0.2">
      <c r="A1107">
        <v>1094</v>
      </c>
      <c r="B1107" t="s">
        <v>3140</v>
      </c>
      <c r="C1107" t="s">
        <v>3141</v>
      </c>
      <c r="D1107" t="s">
        <v>4558</v>
      </c>
      <c r="E1107" t="s">
        <v>3142</v>
      </c>
      <c r="F1107">
        <v>0.67759999999999998</v>
      </c>
      <c r="G1107" t="s">
        <v>610</v>
      </c>
      <c r="H1107" t="s">
        <v>14</v>
      </c>
      <c r="I1107" s="26">
        <v>43165</v>
      </c>
    </row>
    <row r="1108" spans="1:9" x14ac:dyDescent="0.2">
      <c r="A1108">
        <v>1095</v>
      </c>
      <c r="B1108" t="s">
        <v>3143</v>
      </c>
      <c r="C1108" t="s">
        <v>3144</v>
      </c>
      <c r="D1108" t="s">
        <v>4558</v>
      </c>
      <c r="E1108" t="s">
        <v>3145</v>
      </c>
      <c r="F1108">
        <v>0.51319999999999999</v>
      </c>
      <c r="G1108" t="s">
        <v>610</v>
      </c>
      <c r="H1108" t="s">
        <v>14</v>
      </c>
      <c r="I1108" s="26">
        <v>42422</v>
      </c>
    </row>
    <row r="1109" spans="1:9" x14ac:dyDescent="0.2">
      <c r="A1109">
        <v>1096</v>
      </c>
      <c r="B1109" t="s">
        <v>3146</v>
      </c>
      <c r="C1109" t="s">
        <v>3147</v>
      </c>
      <c r="D1109" t="s">
        <v>4558</v>
      </c>
      <c r="E1109" t="s">
        <v>3148</v>
      </c>
      <c r="F1109">
        <v>0.81299999999999994</v>
      </c>
      <c r="G1109" t="s">
        <v>610</v>
      </c>
      <c r="H1109" t="s">
        <v>14</v>
      </c>
      <c r="I1109" s="26">
        <v>42933</v>
      </c>
    </row>
    <row r="1110" spans="1:9" x14ac:dyDescent="0.2">
      <c r="A1110">
        <v>1097</v>
      </c>
      <c r="B1110" t="s">
        <v>3149</v>
      </c>
      <c r="C1110" t="s">
        <v>3150</v>
      </c>
      <c r="D1110" t="s">
        <v>4558</v>
      </c>
      <c r="E1110" t="s">
        <v>3151</v>
      </c>
      <c r="F1110">
        <v>0.9768</v>
      </c>
      <c r="G1110" t="s">
        <v>610</v>
      </c>
      <c r="H1110" t="s">
        <v>14</v>
      </c>
      <c r="I1110" s="26">
        <v>42422</v>
      </c>
    </row>
    <row r="1111" spans="1:9" x14ac:dyDescent="0.2">
      <c r="A1111">
        <v>1098</v>
      </c>
      <c r="B1111" t="s">
        <v>3152</v>
      </c>
      <c r="C1111" t="s">
        <v>3153</v>
      </c>
      <c r="D1111" t="s">
        <v>4558</v>
      </c>
      <c r="E1111" t="s">
        <v>3154</v>
      </c>
      <c r="F1111">
        <v>2.3199999999999998</v>
      </c>
      <c r="G1111" t="s">
        <v>610</v>
      </c>
      <c r="H1111" t="s">
        <v>14</v>
      </c>
      <c r="I1111" s="26">
        <v>42422</v>
      </c>
    </row>
    <row r="1112" spans="1:9" x14ac:dyDescent="0.2">
      <c r="A1112">
        <v>1099</v>
      </c>
      <c r="B1112" t="s">
        <v>3155</v>
      </c>
      <c r="C1112" t="s">
        <v>3156</v>
      </c>
      <c r="D1112" t="s">
        <v>4558</v>
      </c>
      <c r="E1112" t="s">
        <v>3157</v>
      </c>
      <c r="F1112">
        <v>1.03</v>
      </c>
      <c r="G1112" t="s">
        <v>610</v>
      </c>
      <c r="H1112" t="s">
        <v>14</v>
      </c>
      <c r="I1112" s="26">
        <v>42422</v>
      </c>
    </row>
    <row r="1113" spans="1:9" x14ac:dyDescent="0.2">
      <c r="A1113">
        <v>1100</v>
      </c>
      <c r="B1113" t="s">
        <v>3158</v>
      </c>
      <c r="C1113" t="s">
        <v>3159</v>
      </c>
      <c r="D1113" t="s">
        <v>26</v>
      </c>
      <c r="E1113" t="s">
        <v>3160</v>
      </c>
      <c r="F1113">
        <v>90.06</v>
      </c>
      <c r="G1113" t="s">
        <v>27</v>
      </c>
      <c r="H1113" t="s">
        <v>14</v>
      </c>
      <c r="I1113" s="26">
        <v>42478</v>
      </c>
    </row>
    <row r="1114" spans="1:9" x14ac:dyDescent="0.2">
      <c r="A1114">
        <v>1101</v>
      </c>
      <c r="B1114" t="s">
        <v>3161</v>
      </c>
      <c r="C1114" t="s">
        <v>3162</v>
      </c>
      <c r="D1114" t="s">
        <v>26</v>
      </c>
      <c r="E1114" t="s">
        <v>3163</v>
      </c>
      <c r="F1114">
        <v>91.08</v>
      </c>
      <c r="G1114" t="s">
        <v>27</v>
      </c>
      <c r="H1114" t="s">
        <v>14</v>
      </c>
      <c r="I1114" s="26">
        <v>43165</v>
      </c>
    </row>
    <row r="1115" spans="1:9" x14ac:dyDescent="0.2">
      <c r="A1115">
        <v>1102</v>
      </c>
      <c r="B1115" t="s">
        <v>3164</v>
      </c>
      <c r="C1115" t="s">
        <v>3165</v>
      </c>
      <c r="D1115" t="s">
        <v>26</v>
      </c>
      <c r="E1115" t="s">
        <v>3166</v>
      </c>
      <c r="F1115">
        <v>116.01</v>
      </c>
      <c r="G1115" t="s">
        <v>27</v>
      </c>
      <c r="H1115" t="s">
        <v>14</v>
      </c>
      <c r="I1115" s="26"/>
    </row>
    <row r="1116" spans="1:9" x14ac:dyDescent="0.2">
      <c r="A1116">
        <v>1103</v>
      </c>
      <c r="B1116" t="s">
        <v>3167</v>
      </c>
      <c r="C1116" t="s">
        <v>3168</v>
      </c>
      <c r="D1116" t="s">
        <v>26</v>
      </c>
      <c r="E1116" t="s">
        <v>3166</v>
      </c>
      <c r="F1116">
        <v>0</v>
      </c>
      <c r="G1116" t="s">
        <v>27</v>
      </c>
      <c r="H1116" t="s">
        <v>14</v>
      </c>
      <c r="I1116" s="26"/>
    </row>
    <row r="1117" spans="1:9" x14ac:dyDescent="0.2">
      <c r="A1117">
        <v>1104</v>
      </c>
      <c r="B1117" t="s">
        <v>4542</v>
      </c>
      <c r="C1117" t="s">
        <v>4543</v>
      </c>
      <c r="D1117" t="s">
        <v>26</v>
      </c>
      <c r="E1117" t="s">
        <v>289</v>
      </c>
      <c r="F1117">
        <v>8.6999999999999993</v>
      </c>
      <c r="G1117" t="s">
        <v>27</v>
      </c>
      <c r="H1117" t="s">
        <v>14</v>
      </c>
      <c r="I1117" s="26">
        <v>43244</v>
      </c>
    </row>
    <row r="1118" spans="1:9" x14ac:dyDescent="0.2">
      <c r="A1118">
        <v>1105</v>
      </c>
      <c r="B1118" t="s">
        <v>4505</v>
      </c>
      <c r="C1118" t="s">
        <v>4515</v>
      </c>
      <c r="D1118" t="s">
        <v>26</v>
      </c>
      <c r="E1118" t="s">
        <v>14</v>
      </c>
      <c r="F1118">
        <v>27.17</v>
      </c>
      <c r="G1118" t="s">
        <v>27</v>
      </c>
      <c r="H1118" t="s">
        <v>14</v>
      </c>
      <c r="I1118" s="26">
        <v>43235</v>
      </c>
    </row>
    <row r="1119" spans="1:9" x14ac:dyDescent="0.2">
      <c r="A1119">
        <v>1106</v>
      </c>
      <c r="B1119" t="s">
        <v>4478</v>
      </c>
      <c r="C1119" t="s">
        <v>4479</v>
      </c>
      <c r="D1119" t="s">
        <v>26</v>
      </c>
      <c r="E1119" t="s">
        <v>14</v>
      </c>
      <c r="F1119">
        <v>83.51</v>
      </c>
      <c r="G1119" t="s">
        <v>27</v>
      </c>
      <c r="H1119" t="s">
        <v>14</v>
      </c>
      <c r="I1119" s="26"/>
    </row>
    <row r="1120" spans="1:9" x14ac:dyDescent="0.2">
      <c r="A1120">
        <v>1107</v>
      </c>
      <c r="B1120" t="s">
        <v>3169</v>
      </c>
      <c r="C1120" t="s">
        <v>3170</v>
      </c>
      <c r="D1120" t="s">
        <v>26</v>
      </c>
      <c r="E1120" t="s">
        <v>289</v>
      </c>
      <c r="F1120">
        <v>5.99</v>
      </c>
      <c r="G1120" t="s">
        <v>27</v>
      </c>
      <c r="H1120" t="s">
        <v>14</v>
      </c>
      <c r="I1120" s="26">
        <v>43164</v>
      </c>
    </row>
    <row r="1121" spans="1:9" x14ac:dyDescent="0.2">
      <c r="A1121">
        <v>1108</v>
      </c>
      <c r="B1121" t="s">
        <v>4530</v>
      </c>
      <c r="C1121" t="s">
        <v>4531</v>
      </c>
      <c r="D1121" t="s">
        <v>26</v>
      </c>
      <c r="E1121" t="s">
        <v>289</v>
      </c>
      <c r="F1121">
        <v>9.58</v>
      </c>
      <c r="G1121" t="s">
        <v>27</v>
      </c>
      <c r="H1121" t="s">
        <v>14</v>
      </c>
      <c r="I1121" s="26">
        <v>43236</v>
      </c>
    </row>
    <row r="1122" spans="1:9" x14ac:dyDescent="0.2">
      <c r="A1122">
        <v>1109</v>
      </c>
      <c r="B1122" t="s">
        <v>3171</v>
      </c>
      <c r="C1122" t="s">
        <v>3172</v>
      </c>
      <c r="D1122" t="s">
        <v>26</v>
      </c>
      <c r="E1122" t="s">
        <v>3173</v>
      </c>
      <c r="F1122">
        <v>116.55</v>
      </c>
      <c r="G1122" t="s">
        <v>27</v>
      </c>
      <c r="H1122" t="s">
        <v>14</v>
      </c>
      <c r="I1122" s="26">
        <v>42289</v>
      </c>
    </row>
    <row r="1123" spans="1:9" x14ac:dyDescent="0.2">
      <c r="A1123">
        <v>1110</v>
      </c>
      <c r="B1123" t="s">
        <v>3174</v>
      </c>
      <c r="C1123" t="s">
        <v>3175</v>
      </c>
      <c r="D1123" t="s">
        <v>26</v>
      </c>
      <c r="E1123" t="s">
        <v>3176</v>
      </c>
      <c r="F1123">
        <v>55.04</v>
      </c>
      <c r="G1123" t="s">
        <v>27</v>
      </c>
      <c r="H1123" t="s">
        <v>14</v>
      </c>
      <c r="I1123" s="26">
        <v>42929</v>
      </c>
    </row>
    <row r="1124" spans="1:9" x14ac:dyDescent="0.2">
      <c r="A1124">
        <v>1111</v>
      </c>
      <c r="B1124" t="s">
        <v>3177</v>
      </c>
      <c r="C1124" t="s">
        <v>3178</v>
      </c>
      <c r="D1124" t="s">
        <v>26</v>
      </c>
      <c r="E1124" t="s">
        <v>3179</v>
      </c>
      <c r="F1124">
        <v>28.98</v>
      </c>
      <c r="G1124" t="s">
        <v>27</v>
      </c>
      <c r="H1124" t="s">
        <v>14</v>
      </c>
      <c r="I1124" s="26">
        <v>43172</v>
      </c>
    </row>
    <row r="1125" spans="1:9" x14ac:dyDescent="0.2">
      <c r="A1125">
        <v>1112</v>
      </c>
      <c r="B1125" t="s">
        <v>3180</v>
      </c>
      <c r="C1125" t="s">
        <v>3181</v>
      </c>
      <c r="D1125" t="s">
        <v>26</v>
      </c>
      <c r="E1125" t="s">
        <v>3182</v>
      </c>
      <c r="F1125">
        <v>49.33</v>
      </c>
      <c r="G1125" t="s">
        <v>27</v>
      </c>
      <c r="H1125" t="s">
        <v>14</v>
      </c>
      <c r="I1125" s="26">
        <v>42339</v>
      </c>
    </row>
    <row r="1126" spans="1:9" x14ac:dyDescent="0.2">
      <c r="A1126">
        <v>1113</v>
      </c>
      <c r="B1126" t="s">
        <v>3183</v>
      </c>
      <c r="C1126" t="s">
        <v>3184</v>
      </c>
      <c r="D1126" t="s">
        <v>26</v>
      </c>
      <c r="E1126" t="s">
        <v>3185</v>
      </c>
      <c r="F1126">
        <v>39.01</v>
      </c>
      <c r="G1126" t="s">
        <v>27</v>
      </c>
      <c r="H1126" t="s">
        <v>14</v>
      </c>
      <c r="I1126" s="26"/>
    </row>
    <row r="1127" spans="1:9" x14ac:dyDescent="0.2">
      <c r="A1127">
        <v>1114</v>
      </c>
      <c r="B1127" t="s">
        <v>3186</v>
      </c>
      <c r="C1127" t="s">
        <v>3187</v>
      </c>
      <c r="D1127" t="s">
        <v>26</v>
      </c>
      <c r="E1127" t="s">
        <v>3188</v>
      </c>
      <c r="F1127">
        <v>136.59</v>
      </c>
      <c r="G1127" t="s">
        <v>27</v>
      </c>
      <c r="H1127" t="s">
        <v>14</v>
      </c>
      <c r="I1127" s="26"/>
    </row>
    <row r="1128" spans="1:9" x14ac:dyDescent="0.2">
      <c r="A1128">
        <v>1115</v>
      </c>
      <c r="B1128" t="s">
        <v>3189</v>
      </c>
      <c r="C1128" t="s">
        <v>3190</v>
      </c>
      <c r="D1128" t="s">
        <v>26</v>
      </c>
      <c r="E1128" t="s">
        <v>3191</v>
      </c>
      <c r="F1128">
        <v>52.79</v>
      </c>
      <c r="G1128" t="s">
        <v>27</v>
      </c>
      <c r="H1128" t="s">
        <v>14</v>
      </c>
      <c r="I1128" s="26"/>
    </row>
    <row r="1129" spans="1:9" x14ac:dyDescent="0.2">
      <c r="A1129">
        <v>1116</v>
      </c>
      <c r="B1129" t="s">
        <v>3192</v>
      </c>
      <c r="C1129" t="s">
        <v>3193</v>
      </c>
      <c r="D1129" t="s">
        <v>26</v>
      </c>
      <c r="E1129" t="s">
        <v>3194</v>
      </c>
      <c r="F1129">
        <v>36.229999999999997</v>
      </c>
      <c r="G1129" t="s">
        <v>27</v>
      </c>
      <c r="H1129" t="s">
        <v>14</v>
      </c>
      <c r="I1129" s="26">
        <v>43215</v>
      </c>
    </row>
    <row r="1130" spans="1:9" x14ac:dyDescent="0.2">
      <c r="A1130">
        <v>1117</v>
      </c>
      <c r="B1130" t="s">
        <v>4553</v>
      </c>
      <c r="C1130" t="s">
        <v>4554</v>
      </c>
      <c r="D1130" t="s">
        <v>26</v>
      </c>
      <c r="E1130" t="s">
        <v>289</v>
      </c>
      <c r="F1130">
        <v>36.229999999999997</v>
      </c>
      <c r="G1130" t="s">
        <v>27</v>
      </c>
      <c r="H1130" t="s">
        <v>14</v>
      </c>
      <c r="I1130" s="26">
        <v>43249</v>
      </c>
    </row>
    <row r="1131" spans="1:9" x14ac:dyDescent="0.2">
      <c r="A1131">
        <v>1118</v>
      </c>
      <c r="B1131" t="s">
        <v>3195</v>
      </c>
      <c r="C1131" t="s">
        <v>3196</v>
      </c>
      <c r="D1131" t="s">
        <v>26</v>
      </c>
      <c r="E1131" t="s">
        <v>3197</v>
      </c>
      <c r="F1131">
        <v>91.57</v>
      </c>
      <c r="G1131" t="s">
        <v>27</v>
      </c>
      <c r="H1131" t="s">
        <v>14</v>
      </c>
      <c r="I1131" s="26"/>
    </row>
    <row r="1132" spans="1:9" x14ac:dyDescent="0.2">
      <c r="A1132">
        <v>1119</v>
      </c>
      <c r="B1132" t="s">
        <v>3198</v>
      </c>
      <c r="C1132" t="s">
        <v>3199</v>
      </c>
      <c r="D1132" t="s">
        <v>26</v>
      </c>
      <c r="E1132" t="s">
        <v>3200</v>
      </c>
      <c r="F1132">
        <v>74</v>
      </c>
      <c r="G1132" t="s">
        <v>27</v>
      </c>
      <c r="H1132" t="s">
        <v>14</v>
      </c>
      <c r="I1132" s="26">
        <v>42289</v>
      </c>
    </row>
    <row r="1133" spans="1:9" x14ac:dyDescent="0.2">
      <c r="A1133">
        <v>1120</v>
      </c>
      <c r="B1133" t="s">
        <v>3201</v>
      </c>
      <c r="C1133" t="s">
        <v>3202</v>
      </c>
      <c r="D1133" t="s">
        <v>26</v>
      </c>
      <c r="E1133" t="s">
        <v>3203</v>
      </c>
      <c r="F1133">
        <v>95.95</v>
      </c>
      <c r="G1133" t="s">
        <v>27</v>
      </c>
      <c r="H1133" t="s">
        <v>14</v>
      </c>
      <c r="I1133" s="26"/>
    </row>
    <row r="1134" spans="1:9" x14ac:dyDescent="0.2">
      <c r="A1134">
        <v>1121</v>
      </c>
      <c r="B1134" t="s">
        <v>3204</v>
      </c>
      <c r="C1134" t="s">
        <v>3205</v>
      </c>
      <c r="D1134" t="s">
        <v>26</v>
      </c>
      <c r="E1134" t="s">
        <v>3206</v>
      </c>
      <c r="F1134">
        <v>79.930000000000007</v>
      </c>
      <c r="G1134" t="s">
        <v>27</v>
      </c>
      <c r="H1134" t="s">
        <v>14</v>
      </c>
      <c r="I1134" s="26"/>
    </row>
    <row r="1135" spans="1:9" x14ac:dyDescent="0.2">
      <c r="A1135">
        <v>1122</v>
      </c>
      <c r="B1135" t="s">
        <v>3207</v>
      </c>
      <c r="C1135" t="s">
        <v>3208</v>
      </c>
      <c r="D1135" t="s">
        <v>26</v>
      </c>
      <c r="E1135" t="s">
        <v>3209</v>
      </c>
      <c r="F1135">
        <v>43.41</v>
      </c>
      <c r="G1135" t="s">
        <v>27</v>
      </c>
      <c r="H1135" t="s">
        <v>14</v>
      </c>
      <c r="I1135" s="26">
        <v>42339</v>
      </c>
    </row>
    <row r="1136" spans="1:9" x14ac:dyDescent="0.2">
      <c r="A1136">
        <v>1123</v>
      </c>
      <c r="B1136" t="s">
        <v>3210</v>
      </c>
      <c r="C1136" t="s">
        <v>3211</v>
      </c>
      <c r="D1136" t="s">
        <v>26</v>
      </c>
      <c r="E1136" t="s">
        <v>3212</v>
      </c>
      <c r="G1136" t="s">
        <v>27</v>
      </c>
      <c r="H1136" t="s">
        <v>14</v>
      </c>
      <c r="I1136" s="26"/>
    </row>
    <row r="1137" spans="1:9" x14ac:dyDescent="0.2">
      <c r="A1137">
        <v>1124</v>
      </c>
      <c r="B1137" t="s">
        <v>4498</v>
      </c>
      <c r="C1137" t="s">
        <v>4499</v>
      </c>
      <c r="D1137" t="s">
        <v>26</v>
      </c>
      <c r="E1137" t="s">
        <v>14</v>
      </c>
      <c r="G1137" t="s">
        <v>27</v>
      </c>
      <c r="H1137" t="s">
        <v>14</v>
      </c>
      <c r="I1137" s="26"/>
    </row>
    <row r="1138" spans="1:9" x14ac:dyDescent="0.2">
      <c r="A1138">
        <v>1125</v>
      </c>
      <c r="B1138" t="s">
        <v>3213</v>
      </c>
      <c r="C1138" t="s">
        <v>3214</v>
      </c>
      <c r="D1138" t="s">
        <v>1069</v>
      </c>
      <c r="E1138" t="s">
        <v>3215</v>
      </c>
      <c r="F1138">
        <v>19.62</v>
      </c>
      <c r="G1138" t="s">
        <v>1071</v>
      </c>
      <c r="H1138" t="s">
        <v>14</v>
      </c>
      <c r="I1138" s="26"/>
    </row>
    <row r="1139" spans="1:9" x14ac:dyDescent="0.2">
      <c r="A1139">
        <v>1126</v>
      </c>
      <c r="B1139" t="s">
        <v>3216</v>
      </c>
      <c r="C1139" t="s">
        <v>3217</v>
      </c>
      <c r="D1139" t="s">
        <v>415</v>
      </c>
      <c r="E1139" t="s">
        <v>3218</v>
      </c>
      <c r="F1139">
        <v>61.39</v>
      </c>
      <c r="G1139" t="s">
        <v>417</v>
      </c>
      <c r="H1139" t="s">
        <v>14</v>
      </c>
      <c r="I1139" s="26"/>
    </row>
    <row r="1140" spans="1:9" x14ac:dyDescent="0.2">
      <c r="A1140">
        <v>1127</v>
      </c>
      <c r="B1140" t="s">
        <v>3219</v>
      </c>
      <c r="C1140" t="s">
        <v>3220</v>
      </c>
      <c r="D1140" t="s">
        <v>415</v>
      </c>
      <c r="E1140" t="s">
        <v>3221</v>
      </c>
      <c r="F1140">
        <v>21.03</v>
      </c>
      <c r="G1140" t="s">
        <v>417</v>
      </c>
      <c r="H1140" t="s">
        <v>14</v>
      </c>
      <c r="I1140" s="26"/>
    </row>
    <row r="1141" spans="1:9" x14ac:dyDescent="0.2">
      <c r="A1141">
        <v>1128</v>
      </c>
      <c r="B1141" t="s">
        <v>3222</v>
      </c>
      <c r="C1141" t="s">
        <v>3223</v>
      </c>
      <c r="D1141" t="s">
        <v>415</v>
      </c>
      <c r="E1141" t="s">
        <v>3224</v>
      </c>
      <c r="F1141">
        <v>20.41</v>
      </c>
      <c r="G1141" t="s">
        <v>417</v>
      </c>
      <c r="H1141" t="s">
        <v>14</v>
      </c>
      <c r="I1141" s="26"/>
    </row>
    <row r="1142" spans="1:9" x14ac:dyDescent="0.2">
      <c r="A1142">
        <v>1129</v>
      </c>
      <c r="B1142" t="s">
        <v>3225</v>
      </c>
      <c r="C1142" t="s">
        <v>3226</v>
      </c>
      <c r="D1142" t="s">
        <v>26</v>
      </c>
      <c r="E1142" t="s">
        <v>3227</v>
      </c>
      <c r="F1142">
        <v>4.26</v>
      </c>
      <c r="G1142" t="s">
        <v>27</v>
      </c>
      <c r="H1142" t="s">
        <v>14</v>
      </c>
      <c r="I1142" s="26">
        <v>42929</v>
      </c>
    </row>
    <row r="1143" spans="1:9" x14ac:dyDescent="0.2">
      <c r="A1143">
        <v>1130</v>
      </c>
      <c r="B1143" t="s">
        <v>3228</v>
      </c>
      <c r="C1143" t="s">
        <v>3229</v>
      </c>
      <c r="D1143" t="s">
        <v>26</v>
      </c>
      <c r="E1143" t="s">
        <v>3228</v>
      </c>
      <c r="F1143">
        <v>4.5599999999999996</v>
      </c>
      <c r="G1143" t="s">
        <v>27</v>
      </c>
      <c r="H1143" t="s">
        <v>14</v>
      </c>
      <c r="I1143" s="26">
        <v>42290</v>
      </c>
    </row>
    <row r="1144" spans="1:9" x14ac:dyDescent="0.2">
      <c r="A1144">
        <v>1131</v>
      </c>
      <c r="B1144" t="s">
        <v>3230</v>
      </c>
      <c r="C1144" t="s">
        <v>3231</v>
      </c>
      <c r="D1144" t="s">
        <v>26</v>
      </c>
      <c r="E1144" t="s">
        <v>3232</v>
      </c>
      <c r="F1144">
        <v>3.73</v>
      </c>
      <c r="G1144" t="s">
        <v>27</v>
      </c>
      <c r="H1144" t="s">
        <v>14</v>
      </c>
      <c r="I1144" s="26">
        <v>42339</v>
      </c>
    </row>
    <row r="1145" spans="1:9" x14ac:dyDescent="0.2">
      <c r="A1145">
        <v>1132</v>
      </c>
      <c r="B1145" t="s">
        <v>3233</v>
      </c>
      <c r="C1145" t="s">
        <v>3234</v>
      </c>
      <c r="D1145" t="s">
        <v>3235</v>
      </c>
      <c r="E1145" t="s">
        <v>3233</v>
      </c>
      <c r="F1145">
        <v>7.5</v>
      </c>
      <c r="G1145" t="s">
        <v>3236</v>
      </c>
      <c r="H1145" t="s">
        <v>14</v>
      </c>
      <c r="I1145" s="26">
        <v>42307</v>
      </c>
    </row>
    <row r="1146" spans="1:9" x14ac:dyDescent="0.2">
      <c r="A1146">
        <v>1133</v>
      </c>
      <c r="B1146" t="s">
        <v>3237</v>
      </c>
      <c r="C1146" t="s">
        <v>3238</v>
      </c>
      <c r="D1146" t="s">
        <v>26</v>
      </c>
      <c r="E1146" t="s">
        <v>3239</v>
      </c>
      <c r="F1146">
        <v>0.52149999999999996</v>
      </c>
      <c r="G1146" t="s">
        <v>27</v>
      </c>
      <c r="H1146" t="s">
        <v>14</v>
      </c>
      <c r="I1146" s="26">
        <v>42677</v>
      </c>
    </row>
    <row r="1147" spans="1:9" x14ac:dyDescent="0.2">
      <c r="A1147">
        <v>1134</v>
      </c>
      <c r="B1147" t="s">
        <v>3240</v>
      </c>
      <c r="C1147" t="s">
        <v>3241</v>
      </c>
      <c r="D1147" t="s">
        <v>1827</v>
      </c>
      <c r="E1147" t="s">
        <v>3240</v>
      </c>
      <c r="G1147" t="s">
        <v>1829</v>
      </c>
      <c r="H1147" t="s">
        <v>14</v>
      </c>
      <c r="I1147" s="26">
        <v>42677</v>
      </c>
    </row>
    <row r="1148" spans="1:9" x14ac:dyDescent="0.2">
      <c r="A1148">
        <v>1135</v>
      </c>
      <c r="B1148" t="s">
        <v>3242</v>
      </c>
      <c r="C1148" t="s">
        <v>3243</v>
      </c>
      <c r="D1148" t="s">
        <v>508</v>
      </c>
      <c r="E1148" t="s">
        <v>3244</v>
      </c>
      <c r="F1148">
        <v>67.94</v>
      </c>
      <c r="G1148" t="s">
        <v>510</v>
      </c>
      <c r="H1148" t="s">
        <v>14</v>
      </c>
      <c r="I1148" s="26"/>
    </row>
    <row r="1149" spans="1:9" x14ac:dyDescent="0.2">
      <c r="A1149">
        <v>1136</v>
      </c>
      <c r="B1149" t="s">
        <v>3245</v>
      </c>
      <c r="C1149" t="s">
        <v>3246</v>
      </c>
      <c r="D1149" t="s">
        <v>3235</v>
      </c>
      <c r="E1149" t="s">
        <v>3245</v>
      </c>
      <c r="F1149">
        <v>13.68</v>
      </c>
      <c r="G1149" t="s">
        <v>3236</v>
      </c>
      <c r="H1149" t="s">
        <v>14</v>
      </c>
      <c r="I1149" s="26">
        <v>42307</v>
      </c>
    </row>
    <row r="1150" spans="1:9" x14ac:dyDescent="0.2">
      <c r="A1150">
        <v>1137</v>
      </c>
      <c r="B1150" t="s">
        <v>3247</v>
      </c>
      <c r="C1150" t="s">
        <v>3248</v>
      </c>
      <c r="D1150" t="s">
        <v>3235</v>
      </c>
      <c r="E1150" t="s">
        <v>3249</v>
      </c>
      <c r="F1150">
        <v>15.03</v>
      </c>
      <c r="G1150" t="s">
        <v>3236</v>
      </c>
      <c r="H1150" t="s">
        <v>14</v>
      </c>
      <c r="I1150" s="26">
        <v>42307</v>
      </c>
    </row>
    <row r="1151" spans="1:9" x14ac:dyDescent="0.2">
      <c r="A1151">
        <v>1138</v>
      </c>
      <c r="B1151" t="s">
        <v>4476</v>
      </c>
      <c r="C1151" t="s">
        <v>4477</v>
      </c>
      <c r="D1151" t="s">
        <v>26</v>
      </c>
      <c r="E1151" t="s">
        <v>14</v>
      </c>
      <c r="F1151">
        <v>19.149999999999999</v>
      </c>
      <c r="G1151" t="s">
        <v>27</v>
      </c>
      <c r="H1151" t="s">
        <v>14</v>
      </c>
      <c r="I1151" s="26"/>
    </row>
    <row r="1152" spans="1:9" x14ac:dyDescent="0.2">
      <c r="A1152">
        <v>1139</v>
      </c>
      <c r="B1152" t="s">
        <v>4486</v>
      </c>
      <c r="C1152" t="s">
        <v>4487</v>
      </c>
      <c r="D1152" t="s">
        <v>26</v>
      </c>
      <c r="E1152" t="s">
        <v>14</v>
      </c>
      <c r="F1152">
        <v>21.54</v>
      </c>
      <c r="G1152" t="s">
        <v>27</v>
      </c>
      <c r="H1152" t="s">
        <v>14</v>
      </c>
      <c r="I1152" s="26"/>
    </row>
    <row r="1153" spans="1:9" x14ac:dyDescent="0.2">
      <c r="A1153">
        <v>1140</v>
      </c>
      <c r="B1153" t="s">
        <v>3250</v>
      </c>
      <c r="C1153" t="s">
        <v>3251</v>
      </c>
      <c r="D1153" t="s">
        <v>26</v>
      </c>
      <c r="E1153" t="s">
        <v>3252</v>
      </c>
      <c r="F1153">
        <v>39.79</v>
      </c>
      <c r="G1153" t="s">
        <v>27</v>
      </c>
      <c r="H1153" t="s">
        <v>3253</v>
      </c>
      <c r="I1153" s="26"/>
    </row>
    <row r="1154" spans="1:9" x14ac:dyDescent="0.2">
      <c r="A1154">
        <v>1141</v>
      </c>
      <c r="B1154" t="s">
        <v>4504</v>
      </c>
      <c r="C1154" t="s">
        <v>4514</v>
      </c>
      <c r="D1154" t="s">
        <v>26</v>
      </c>
      <c r="E1154" t="s">
        <v>14</v>
      </c>
      <c r="F1154">
        <v>11.49</v>
      </c>
      <c r="G1154" t="s">
        <v>27</v>
      </c>
      <c r="H1154" t="s">
        <v>14</v>
      </c>
      <c r="I1154" s="26">
        <v>43235</v>
      </c>
    </row>
    <row r="1155" spans="1:9" x14ac:dyDescent="0.2">
      <c r="A1155">
        <v>1142</v>
      </c>
      <c r="B1155" t="s">
        <v>3254</v>
      </c>
      <c r="C1155" t="s">
        <v>3255</v>
      </c>
      <c r="D1155" t="s">
        <v>26</v>
      </c>
      <c r="E1155" t="s">
        <v>3256</v>
      </c>
      <c r="F1155">
        <v>37.700000000000003</v>
      </c>
      <c r="G1155" t="s">
        <v>27</v>
      </c>
      <c r="H1155" t="s">
        <v>14</v>
      </c>
      <c r="I1155" s="26"/>
    </row>
    <row r="1156" spans="1:9" x14ac:dyDescent="0.2">
      <c r="A1156">
        <v>1143</v>
      </c>
      <c r="B1156" t="s">
        <v>3257</v>
      </c>
      <c r="C1156" t="s">
        <v>3258</v>
      </c>
      <c r="D1156" t="s">
        <v>3259</v>
      </c>
      <c r="E1156" t="s">
        <v>3257</v>
      </c>
      <c r="F1156">
        <v>4.43</v>
      </c>
      <c r="G1156" t="s">
        <v>3260</v>
      </c>
      <c r="H1156" t="s">
        <v>14</v>
      </c>
      <c r="I1156" s="26">
        <v>42307</v>
      </c>
    </row>
    <row r="1157" spans="1:9" x14ac:dyDescent="0.2">
      <c r="A1157">
        <v>1144</v>
      </c>
      <c r="B1157" t="s">
        <v>3261</v>
      </c>
      <c r="C1157" t="s">
        <v>3262</v>
      </c>
      <c r="D1157" t="s">
        <v>3259</v>
      </c>
      <c r="E1157" t="s">
        <v>3261</v>
      </c>
      <c r="F1157">
        <v>15.16</v>
      </c>
      <c r="G1157" t="s">
        <v>3260</v>
      </c>
      <c r="H1157" t="s">
        <v>14</v>
      </c>
      <c r="I1157" s="26"/>
    </row>
    <row r="1158" spans="1:9" x14ac:dyDescent="0.2">
      <c r="A1158">
        <v>1145</v>
      </c>
      <c r="B1158" t="s">
        <v>3263</v>
      </c>
      <c r="C1158" t="s">
        <v>3264</v>
      </c>
      <c r="D1158" t="s">
        <v>3265</v>
      </c>
      <c r="E1158" t="s">
        <v>3266</v>
      </c>
      <c r="F1158">
        <v>0.9</v>
      </c>
      <c r="G1158" t="s">
        <v>3267</v>
      </c>
      <c r="H1158" t="s">
        <v>14</v>
      </c>
      <c r="I1158" s="26"/>
    </row>
    <row r="1159" spans="1:9" x14ac:dyDescent="0.2">
      <c r="A1159">
        <v>1146</v>
      </c>
      <c r="B1159" t="s">
        <v>3268</v>
      </c>
      <c r="C1159" t="s">
        <v>3269</v>
      </c>
      <c r="D1159" t="s">
        <v>3265</v>
      </c>
      <c r="E1159" t="s">
        <v>3270</v>
      </c>
      <c r="F1159">
        <v>0.98729999999999996</v>
      </c>
      <c r="G1159" t="s">
        <v>3267</v>
      </c>
      <c r="H1159" t="s">
        <v>14</v>
      </c>
      <c r="I1159" s="26">
        <v>42339</v>
      </c>
    </row>
    <row r="1160" spans="1:9" x14ac:dyDescent="0.2">
      <c r="A1160">
        <v>1147</v>
      </c>
      <c r="B1160" t="s">
        <v>3271</v>
      </c>
      <c r="C1160" t="s">
        <v>3272</v>
      </c>
      <c r="D1160" t="s">
        <v>26</v>
      </c>
      <c r="E1160" t="s">
        <v>3273</v>
      </c>
      <c r="F1160">
        <v>25.28</v>
      </c>
      <c r="G1160" t="s">
        <v>27</v>
      </c>
      <c r="H1160" t="s">
        <v>3274</v>
      </c>
      <c r="I1160" s="26">
        <v>42339</v>
      </c>
    </row>
    <row r="1161" spans="1:9" x14ac:dyDescent="0.2">
      <c r="A1161">
        <v>1148</v>
      </c>
      <c r="B1161" t="s">
        <v>3275</v>
      </c>
      <c r="C1161" t="s">
        <v>3276</v>
      </c>
      <c r="D1161" t="s">
        <v>26</v>
      </c>
      <c r="E1161" t="s">
        <v>3277</v>
      </c>
      <c r="F1161">
        <v>22.49</v>
      </c>
      <c r="G1161" t="s">
        <v>27</v>
      </c>
      <c r="H1161" t="s">
        <v>14</v>
      </c>
      <c r="I1161" s="26">
        <v>42339</v>
      </c>
    </row>
    <row r="1162" spans="1:9" x14ac:dyDescent="0.2">
      <c r="A1162">
        <v>1149</v>
      </c>
      <c r="B1162" t="s">
        <v>3278</v>
      </c>
      <c r="C1162" t="s">
        <v>3279</v>
      </c>
      <c r="D1162" t="s">
        <v>26</v>
      </c>
      <c r="E1162" t="s">
        <v>3280</v>
      </c>
      <c r="F1162">
        <v>14.54</v>
      </c>
      <c r="G1162" t="s">
        <v>27</v>
      </c>
      <c r="H1162" t="s">
        <v>3281</v>
      </c>
      <c r="I1162" s="26">
        <v>42339</v>
      </c>
    </row>
    <row r="1163" spans="1:9" x14ac:dyDescent="0.2">
      <c r="A1163">
        <v>1150</v>
      </c>
      <c r="B1163" t="s">
        <v>3282</v>
      </c>
      <c r="C1163" t="s">
        <v>3283</v>
      </c>
      <c r="D1163" t="s">
        <v>3265</v>
      </c>
      <c r="E1163" t="s">
        <v>3284</v>
      </c>
      <c r="F1163">
        <v>0.71</v>
      </c>
      <c r="G1163" t="s">
        <v>3267</v>
      </c>
      <c r="H1163" t="s">
        <v>14</v>
      </c>
      <c r="I1163" s="26">
        <v>43165</v>
      </c>
    </row>
    <row r="1164" spans="1:9" x14ac:dyDescent="0.2">
      <c r="A1164">
        <v>1151</v>
      </c>
      <c r="B1164" t="s">
        <v>3285</v>
      </c>
      <c r="C1164" t="s">
        <v>3286</v>
      </c>
      <c r="D1164" t="s">
        <v>26</v>
      </c>
      <c r="E1164" t="s">
        <v>3287</v>
      </c>
      <c r="F1164">
        <v>66.45</v>
      </c>
      <c r="G1164" t="s">
        <v>27</v>
      </c>
      <c r="H1164" t="s">
        <v>14</v>
      </c>
      <c r="I1164" s="26">
        <v>42290</v>
      </c>
    </row>
    <row r="1165" spans="1:9" x14ac:dyDescent="0.2">
      <c r="A1165">
        <v>1152</v>
      </c>
      <c r="B1165" t="s">
        <v>3288</v>
      </c>
      <c r="C1165" t="s">
        <v>3289</v>
      </c>
      <c r="D1165" t="s">
        <v>3265</v>
      </c>
      <c r="E1165" t="s">
        <v>3290</v>
      </c>
      <c r="F1165">
        <v>1.7494000000000001</v>
      </c>
      <c r="G1165" t="s">
        <v>3267</v>
      </c>
      <c r="H1165" t="s">
        <v>14</v>
      </c>
      <c r="I1165" s="26">
        <v>42339</v>
      </c>
    </row>
    <row r="1166" spans="1:9" x14ac:dyDescent="0.2">
      <c r="A1166">
        <v>1153</v>
      </c>
      <c r="B1166" t="s">
        <v>3291</v>
      </c>
      <c r="C1166" t="s">
        <v>3292</v>
      </c>
      <c r="D1166" t="s">
        <v>3293</v>
      </c>
      <c r="E1166" t="s">
        <v>3294</v>
      </c>
      <c r="F1166">
        <v>1.276</v>
      </c>
      <c r="G1166" t="s">
        <v>3295</v>
      </c>
      <c r="H1166" t="s">
        <v>14</v>
      </c>
      <c r="I1166" s="26">
        <v>42551</v>
      </c>
    </row>
    <row r="1167" spans="1:9" x14ac:dyDescent="0.2">
      <c r="A1167">
        <v>1154</v>
      </c>
      <c r="B1167" t="s">
        <v>3296</v>
      </c>
      <c r="C1167" t="s">
        <v>3297</v>
      </c>
      <c r="D1167" t="s">
        <v>26</v>
      </c>
      <c r="E1167" t="s">
        <v>3298</v>
      </c>
      <c r="F1167">
        <v>29.42</v>
      </c>
      <c r="G1167" t="s">
        <v>27</v>
      </c>
      <c r="H1167" t="s">
        <v>14</v>
      </c>
      <c r="I1167" s="26">
        <v>42289</v>
      </c>
    </row>
    <row r="1168" spans="1:9" x14ac:dyDescent="0.2">
      <c r="A1168">
        <v>1155</v>
      </c>
      <c r="B1168" t="s">
        <v>3299</v>
      </c>
      <c r="C1168" t="s">
        <v>3300</v>
      </c>
      <c r="D1168" t="s">
        <v>26</v>
      </c>
      <c r="E1168" t="s">
        <v>3301</v>
      </c>
      <c r="F1168">
        <v>22.68</v>
      </c>
      <c r="G1168" t="s">
        <v>27</v>
      </c>
      <c r="H1168" t="s">
        <v>14</v>
      </c>
      <c r="I1168" s="26">
        <v>42290</v>
      </c>
    </row>
    <row r="1169" spans="1:9" x14ac:dyDescent="0.2">
      <c r="A1169">
        <v>1156</v>
      </c>
      <c r="B1169" t="s">
        <v>4465</v>
      </c>
      <c r="C1169" t="s">
        <v>4466</v>
      </c>
      <c r="D1169" t="s">
        <v>26</v>
      </c>
      <c r="E1169" t="s">
        <v>4467</v>
      </c>
      <c r="F1169">
        <v>117.93</v>
      </c>
      <c r="G1169" t="s">
        <v>27</v>
      </c>
      <c r="H1169" t="s">
        <v>14</v>
      </c>
      <c r="I1169" s="26">
        <v>43229</v>
      </c>
    </row>
    <row r="1170" spans="1:9" x14ac:dyDescent="0.2">
      <c r="A1170">
        <v>1157</v>
      </c>
      <c r="B1170" t="s">
        <v>3302</v>
      </c>
      <c r="C1170" t="s">
        <v>3303</v>
      </c>
      <c r="D1170" t="s">
        <v>26</v>
      </c>
      <c r="E1170" t="s">
        <v>3304</v>
      </c>
      <c r="F1170">
        <v>89.07</v>
      </c>
      <c r="G1170" t="s">
        <v>27</v>
      </c>
      <c r="H1170" t="s">
        <v>14</v>
      </c>
      <c r="I1170" s="26">
        <v>42290</v>
      </c>
    </row>
    <row r="1171" spans="1:9" x14ac:dyDescent="0.2">
      <c r="A1171">
        <v>1158</v>
      </c>
      <c r="B1171" t="s">
        <v>3305</v>
      </c>
      <c r="C1171" t="s">
        <v>3306</v>
      </c>
      <c r="D1171" t="s">
        <v>26</v>
      </c>
      <c r="E1171" t="s">
        <v>3307</v>
      </c>
      <c r="F1171">
        <v>36.01</v>
      </c>
      <c r="G1171" t="s">
        <v>27</v>
      </c>
      <c r="H1171" t="s">
        <v>14</v>
      </c>
      <c r="I1171" s="26">
        <v>42339</v>
      </c>
    </row>
    <row r="1172" spans="1:9" x14ac:dyDescent="0.2">
      <c r="A1172">
        <v>1159</v>
      </c>
      <c r="B1172" t="s">
        <v>3308</v>
      </c>
      <c r="C1172" t="s">
        <v>3309</v>
      </c>
      <c r="D1172" t="s">
        <v>1633</v>
      </c>
      <c r="E1172" t="s">
        <v>3310</v>
      </c>
      <c r="F1172">
        <v>12.04</v>
      </c>
      <c r="G1172" t="s">
        <v>1635</v>
      </c>
      <c r="H1172" t="s">
        <v>14</v>
      </c>
      <c r="I1172" s="26">
        <v>43217</v>
      </c>
    </row>
    <row r="1173" spans="1:9" x14ac:dyDescent="0.2">
      <c r="A1173">
        <v>1160</v>
      </c>
      <c r="B1173" t="s">
        <v>3311</v>
      </c>
      <c r="C1173" t="s">
        <v>3312</v>
      </c>
      <c r="D1173" t="s">
        <v>1633</v>
      </c>
      <c r="E1173" t="s">
        <v>3313</v>
      </c>
      <c r="F1173">
        <v>8.24</v>
      </c>
      <c r="G1173" t="s">
        <v>1635</v>
      </c>
      <c r="H1173" t="s">
        <v>14</v>
      </c>
      <c r="I1173" s="26">
        <v>43217</v>
      </c>
    </row>
    <row r="1174" spans="1:9" x14ac:dyDescent="0.2">
      <c r="A1174">
        <v>1161</v>
      </c>
      <c r="B1174" t="s">
        <v>3314</v>
      </c>
      <c r="C1174" t="s">
        <v>3315</v>
      </c>
      <c r="D1174" t="s">
        <v>3259</v>
      </c>
      <c r="E1174" t="s">
        <v>3314</v>
      </c>
      <c r="F1174">
        <v>2.04</v>
      </c>
      <c r="G1174" t="s">
        <v>3260</v>
      </c>
      <c r="H1174" t="s">
        <v>14</v>
      </c>
      <c r="I1174" s="26">
        <v>42307</v>
      </c>
    </row>
    <row r="1175" spans="1:9" x14ac:dyDescent="0.2">
      <c r="A1175">
        <v>1162</v>
      </c>
      <c r="B1175" t="s">
        <v>3316</v>
      </c>
      <c r="C1175" t="s">
        <v>3317</v>
      </c>
      <c r="D1175" t="s">
        <v>1827</v>
      </c>
      <c r="E1175" t="s">
        <v>3316</v>
      </c>
      <c r="F1175">
        <v>3.95</v>
      </c>
      <c r="G1175" t="s">
        <v>1829</v>
      </c>
      <c r="H1175" t="s">
        <v>14</v>
      </c>
      <c r="I1175" s="26">
        <v>43217</v>
      </c>
    </row>
    <row r="1176" spans="1:9" x14ac:dyDescent="0.2">
      <c r="A1176">
        <v>1163</v>
      </c>
      <c r="B1176" t="s">
        <v>3318</v>
      </c>
      <c r="C1176" t="s">
        <v>3319</v>
      </c>
      <c r="D1176" t="s">
        <v>2425</v>
      </c>
      <c r="E1176" t="s">
        <v>3320</v>
      </c>
      <c r="F1176">
        <v>2.34</v>
      </c>
      <c r="G1176" t="s">
        <v>2427</v>
      </c>
      <c r="H1176" t="s">
        <v>14</v>
      </c>
      <c r="I1176" s="26">
        <v>42307</v>
      </c>
    </row>
    <row r="1177" spans="1:9" x14ac:dyDescent="0.2">
      <c r="A1177">
        <v>1164</v>
      </c>
      <c r="B1177" t="s">
        <v>3321</v>
      </c>
      <c r="C1177" t="s">
        <v>3322</v>
      </c>
      <c r="D1177" t="s">
        <v>2425</v>
      </c>
      <c r="E1177" t="s">
        <v>3323</v>
      </c>
      <c r="F1177">
        <v>2.61</v>
      </c>
      <c r="G1177" t="s">
        <v>2427</v>
      </c>
      <c r="H1177" t="s">
        <v>14</v>
      </c>
      <c r="I1177" s="26">
        <v>42307</v>
      </c>
    </row>
    <row r="1178" spans="1:9" x14ac:dyDescent="0.2">
      <c r="A1178">
        <v>1165</v>
      </c>
      <c r="B1178" t="s">
        <v>3324</v>
      </c>
      <c r="C1178" t="s">
        <v>3325</v>
      </c>
      <c r="D1178" t="s">
        <v>2425</v>
      </c>
      <c r="E1178" t="s">
        <v>14</v>
      </c>
      <c r="G1178" t="s">
        <v>2427</v>
      </c>
      <c r="H1178" t="s">
        <v>14</v>
      </c>
      <c r="I1178" s="26">
        <v>42307</v>
      </c>
    </row>
    <row r="1179" spans="1:9" x14ac:dyDescent="0.2">
      <c r="A1179">
        <v>1166</v>
      </c>
      <c r="B1179" t="s">
        <v>3326</v>
      </c>
      <c r="C1179" t="s">
        <v>3327</v>
      </c>
      <c r="D1179" t="s">
        <v>1206</v>
      </c>
      <c r="E1179" t="s">
        <v>3328</v>
      </c>
      <c r="F1179">
        <v>9.83</v>
      </c>
      <c r="G1179" t="s">
        <v>1208</v>
      </c>
      <c r="H1179" t="s">
        <v>14</v>
      </c>
      <c r="I1179" s="26">
        <v>42307</v>
      </c>
    </row>
    <row r="1180" spans="1:9" x14ac:dyDescent="0.2">
      <c r="A1180">
        <v>1167</v>
      </c>
      <c r="B1180" t="s">
        <v>3329</v>
      </c>
      <c r="C1180" t="s">
        <v>3330</v>
      </c>
      <c r="D1180" t="s">
        <v>1206</v>
      </c>
      <c r="E1180" t="s">
        <v>3331</v>
      </c>
      <c r="F1180">
        <v>6.97</v>
      </c>
      <c r="G1180" t="s">
        <v>1208</v>
      </c>
      <c r="H1180" t="s">
        <v>14</v>
      </c>
      <c r="I1180" s="26">
        <v>42307</v>
      </c>
    </row>
    <row r="1181" spans="1:9" x14ac:dyDescent="0.2">
      <c r="A1181">
        <v>1168</v>
      </c>
      <c r="B1181" t="s">
        <v>3332</v>
      </c>
      <c r="C1181" t="s">
        <v>3333</v>
      </c>
      <c r="D1181" t="s">
        <v>1719</v>
      </c>
      <c r="E1181" t="s">
        <v>1720</v>
      </c>
      <c r="F1181">
        <v>5.45</v>
      </c>
      <c r="G1181" t="s">
        <v>1721</v>
      </c>
      <c r="H1181" t="s">
        <v>14</v>
      </c>
      <c r="I1181" s="26">
        <v>42307</v>
      </c>
    </row>
    <row r="1182" spans="1:9" x14ac:dyDescent="0.2">
      <c r="A1182">
        <v>1169</v>
      </c>
      <c r="B1182" t="s">
        <v>3334</v>
      </c>
      <c r="C1182" t="s">
        <v>3335</v>
      </c>
      <c r="D1182" t="s">
        <v>3259</v>
      </c>
      <c r="E1182" t="s">
        <v>3334</v>
      </c>
      <c r="F1182">
        <v>4.6399999999999997</v>
      </c>
      <c r="G1182" t="s">
        <v>3260</v>
      </c>
      <c r="H1182" t="s">
        <v>14</v>
      </c>
      <c r="I1182" s="26">
        <v>42307</v>
      </c>
    </row>
    <row r="1183" spans="1:9" x14ac:dyDescent="0.2">
      <c r="A1183">
        <v>1170</v>
      </c>
      <c r="B1183" t="s">
        <v>3336</v>
      </c>
      <c r="C1183" t="s">
        <v>3337</v>
      </c>
      <c r="D1183" t="s">
        <v>3259</v>
      </c>
      <c r="E1183" t="s">
        <v>3336</v>
      </c>
      <c r="F1183">
        <v>5.5</v>
      </c>
      <c r="G1183" t="s">
        <v>3260</v>
      </c>
      <c r="H1183" t="s">
        <v>14</v>
      </c>
      <c r="I1183" s="26">
        <v>42307</v>
      </c>
    </row>
    <row r="1184" spans="1:9" x14ac:dyDescent="0.2">
      <c r="A1184">
        <v>1171</v>
      </c>
      <c r="B1184" t="s">
        <v>3338</v>
      </c>
      <c r="C1184" t="s">
        <v>3339</v>
      </c>
      <c r="D1184" t="s">
        <v>3259</v>
      </c>
      <c r="E1184" t="s">
        <v>3338</v>
      </c>
      <c r="F1184">
        <v>5.2</v>
      </c>
      <c r="G1184" t="s">
        <v>3260</v>
      </c>
      <c r="H1184" t="s">
        <v>14</v>
      </c>
      <c r="I1184" s="26">
        <v>42307</v>
      </c>
    </row>
    <row r="1185" spans="1:9" x14ac:dyDescent="0.2">
      <c r="A1185">
        <v>1172</v>
      </c>
      <c r="B1185" t="s">
        <v>3340</v>
      </c>
      <c r="C1185" t="s">
        <v>3341</v>
      </c>
      <c r="D1185" t="s">
        <v>1206</v>
      </c>
      <c r="E1185" t="s">
        <v>3342</v>
      </c>
      <c r="F1185">
        <v>12.32</v>
      </c>
      <c r="G1185" t="s">
        <v>1208</v>
      </c>
      <c r="H1185" t="s">
        <v>14</v>
      </c>
      <c r="I1185" s="26">
        <v>42307</v>
      </c>
    </row>
    <row r="1186" spans="1:9" x14ac:dyDescent="0.2">
      <c r="A1186">
        <v>1173</v>
      </c>
      <c r="B1186" t="s">
        <v>3343</v>
      </c>
      <c r="C1186" t="s">
        <v>3344</v>
      </c>
      <c r="D1186" t="s">
        <v>3259</v>
      </c>
      <c r="E1186" t="s">
        <v>3343</v>
      </c>
      <c r="F1186">
        <v>11.21</v>
      </c>
      <c r="G1186" t="s">
        <v>3260</v>
      </c>
      <c r="H1186" t="s">
        <v>14</v>
      </c>
      <c r="I1186" s="26">
        <v>42307</v>
      </c>
    </row>
    <row r="1187" spans="1:9" x14ac:dyDescent="0.2">
      <c r="A1187">
        <v>1174</v>
      </c>
      <c r="B1187" t="s">
        <v>3345</v>
      </c>
      <c r="C1187" t="s">
        <v>3346</v>
      </c>
      <c r="D1187" t="s">
        <v>1206</v>
      </c>
      <c r="E1187" t="s">
        <v>3347</v>
      </c>
      <c r="F1187">
        <v>9.5500000000000007</v>
      </c>
      <c r="G1187" t="s">
        <v>1208</v>
      </c>
      <c r="H1187" t="s">
        <v>14</v>
      </c>
      <c r="I1187" s="26">
        <v>42307</v>
      </c>
    </row>
    <row r="1188" spans="1:9" x14ac:dyDescent="0.2">
      <c r="A1188">
        <v>1175</v>
      </c>
      <c r="B1188" t="s">
        <v>3348</v>
      </c>
      <c r="C1188" t="s">
        <v>3349</v>
      </c>
      <c r="D1188" t="s">
        <v>2425</v>
      </c>
      <c r="E1188" t="s">
        <v>3350</v>
      </c>
      <c r="F1188">
        <v>9.6300000000000008</v>
      </c>
      <c r="G1188" t="s">
        <v>2427</v>
      </c>
      <c r="H1188" t="s">
        <v>14</v>
      </c>
      <c r="I1188" s="26">
        <v>42307</v>
      </c>
    </row>
    <row r="1189" spans="1:9" x14ac:dyDescent="0.2">
      <c r="A1189">
        <v>1176</v>
      </c>
      <c r="B1189" t="s">
        <v>3351</v>
      </c>
      <c r="C1189" t="s">
        <v>3352</v>
      </c>
      <c r="D1189" t="s">
        <v>1719</v>
      </c>
      <c r="E1189" t="s">
        <v>3351</v>
      </c>
      <c r="F1189">
        <v>7.35</v>
      </c>
      <c r="G1189" t="s">
        <v>1721</v>
      </c>
      <c r="H1189" t="s">
        <v>14</v>
      </c>
      <c r="I1189" s="26">
        <v>42307</v>
      </c>
    </row>
    <row r="1190" spans="1:9" x14ac:dyDescent="0.2">
      <c r="A1190">
        <v>1177</v>
      </c>
      <c r="B1190" t="s">
        <v>3353</v>
      </c>
      <c r="C1190" t="s">
        <v>3354</v>
      </c>
      <c r="D1190" t="s">
        <v>1206</v>
      </c>
      <c r="E1190" t="s">
        <v>3355</v>
      </c>
      <c r="F1190">
        <v>23.88</v>
      </c>
      <c r="G1190" t="s">
        <v>1208</v>
      </c>
      <c r="H1190" t="s">
        <v>14</v>
      </c>
      <c r="I1190" s="26">
        <v>42307</v>
      </c>
    </row>
    <row r="1191" spans="1:9" x14ac:dyDescent="0.2">
      <c r="A1191">
        <v>1178</v>
      </c>
      <c r="B1191" t="s">
        <v>3356</v>
      </c>
      <c r="C1191" t="s">
        <v>3357</v>
      </c>
      <c r="D1191" t="s">
        <v>26</v>
      </c>
      <c r="E1191" t="s">
        <v>3358</v>
      </c>
      <c r="F1191">
        <v>24.32</v>
      </c>
      <c r="G1191" t="s">
        <v>27</v>
      </c>
      <c r="H1191" t="s">
        <v>14</v>
      </c>
      <c r="I1191" s="26">
        <v>42339</v>
      </c>
    </row>
    <row r="1192" spans="1:9" x14ac:dyDescent="0.2">
      <c r="A1192">
        <v>1179</v>
      </c>
      <c r="B1192" t="s">
        <v>3359</v>
      </c>
      <c r="C1192" t="s">
        <v>3360</v>
      </c>
      <c r="D1192" t="s">
        <v>2425</v>
      </c>
      <c r="E1192" t="s">
        <v>3359</v>
      </c>
      <c r="F1192">
        <v>7.2999999999999995E-2</v>
      </c>
      <c r="G1192" t="s">
        <v>2427</v>
      </c>
      <c r="H1192" t="s">
        <v>14</v>
      </c>
      <c r="I1192" s="26">
        <v>42307</v>
      </c>
    </row>
    <row r="1193" spans="1:9" x14ac:dyDescent="0.2">
      <c r="A1193">
        <v>1180</v>
      </c>
      <c r="B1193" t="s">
        <v>3361</v>
      </c>
      <c r="C1193" t="s">
        <v>3362</v>
      </c>
      <c r="D1193" t="s">
        <v>2425</v>
      </c>
      <c r="E1193" t="s">
        <v>3361</v>
      </c>
      <c r="F1193">
        <v>0.48330000000000001</v>
      </c>
      <c r="G1193" t="s">
        <v>2427</v>
      </c>
      <c r="H1193" t="s">
        <v>14</v>
      </c>
      <c r="I1193" s="26">
        <v>42307</v>
      </c>
    </row>
    <row r="1194" spans="1:9" x14ac:dyDescent="0.2">
      <c r="A1194">
        <v>1181</v>
      </c>
      <c r="B1194" t="s">
        <v>3363</v>
      </c>
      <c r="C1194" t="s">
        <v>3364</v>
      </c>
      <c r="D1194" t="s">
        <v>3365</v>
      </c>
      <c r="E1194" t="s">
        <v>3363</v>
      </c>
      <c r="F1194">
        <v>9.8000000000000004E-2</v>
      </c>
      <c r="G1194" t="s">
        <v>3366</v>
      </c>
      <c r="H1194" t="s">
        <v>14</v>
      </c>
      <c r="I1194" s="26">
        <v>42307</v>
      </c>
    </row>
    <row r="1195" spans="1:9" x14ac:dyDescent="0.2">
      <c r="A1195">
        <v>1182</v>
      </c>
      <c r="B1195" t="s">
        <v>3367</v>
      </c>
      <c r="C1195" t="s">
        <v>3368</v>
      </c>
      <c r="D1195" t="s">
        <v>2425</v>
      </c>
      <c r="E1195" t="s">
        <v>3367</v>
      </c>
      <c r="F1195">
        <v>8.1199999999999994E-2</v>
      </c>
      <c r="G1195" t="s">
        <v>2427</v>
      </c>
      <c r="H1195" t="s">
        <v>14</v>
      </c>
      <c r="I1195" s="26">
        <v>42307</v>
      </c>
    </row>
    <row r="1196" spans="1:9" x14ac:dyDescent="0.2">
      <c r="A1196">
        <v>1183</v>
      </c>
      <c r="B1196" t="s">
        <v>3369</v>
      </c>
      <c r="C1196" t="s">
        <v>3370</v>
      </c>
      <c r="D1196" t="s">
        <v>2425</v>
      </c>
      <c r="E1196" t="s">
        <v>3369</v>
      </c>
      <c r="F1196">
        <v>2.5097999999999998</v>
      </c>
      <c r="G1196" t="s">
        <v>2427</v>
      </c>
      <c r="H1196" t="s">
        <v>14</v>
      </c>
      <c r="I1196" s="26">
        <v>42307</v>
      </c>
    </row>
    <row r="1197" spans="1:9" x14ac:dyDescent="0.2">
      <c r="A1197">
        <v>1184</v>
      </c>
      <c r="B1197" t="s">
        <v>3371</v>
      </c>
      <c r="C1197" t="s">
        <v>3372</v>
      </c>
      <c r="D1197" t="s">
        <v>1206</v>
      </c>
      <c r="E1197" t="s">
        <v>3373</v>
      </c>
      <c r="F1197">
        <v>3.55</v>
      </c>
      <c r="G1197" t="s">
        <v>1208</v>
      </c>
      <c r="H1197" t="s">
        <v>14</v>
      </c>
      <c r="I1197" s="26">
        <v>42307</v>
      </c>
    </row>
    <row r="1198" spans="1:9" x14ac:dyDescent="0.2">
      <c r="A1198">
        <v>1185</v>
      </c>
      <c r="B1198" t="s">
        <v>3374</v>
      </c>
      <c r="C1198" t="s">
        <v>3375</v>
      </c>
      <c r="D1198" t="s">
        <v>2425</v>
      </c>
      <c r="E1198" t="s">
        <v>3374</v>
      </c>
      <c r="F1198">
        <v>0.25230000000000002</v>
      </c>
      <c r="G1198" t="s">
        <v>2427</v>
      </c>
      <c r="H1198" t="s">
        <v>14</v>
      </c>
      <c r="I1198" s="26">
        <v>42307</v>
      </c>
    </row>
    <row r="1199" spans="1:9" x14ac:dyDescent="0.2">
      <c r="A1199">
        <v>1186</v>
      </c>
      <c r="B1199" t="s">
        <v>3376</v>
      </c>
      <c r="C1199" t="s">
        <v>3377</v>
      </c>
      <c r="D1199" t="s">
        <v>2425</v>
      </c>
      <c r="E1199" t="s">
        <v>3376</v>
      </c>
      <c r="F1199">
        <v>3.4695999999999998</v>
      </c>
      <c r="G1199" t="s">
        <v>2427</v>
      </c>
      <c r="H1199" t="s">
        <v>14</v>
      </c>
      <c r="I1199" s="26">
        <v>42307</v>
      </c>
    </row>
    <row r="1200" spans="1:9" x14ac:dyDescent="0.2">
      <c r="A1200">
        <v>1187</v>
      </c>
      <c r="B1200" t="s">
        <v>3378</v>
      </c>
      <c r="C1200" t="s">
        <v>3379</v>
      </c>
      <c r="D1200" t="s">
        <v>26</v>
      </c>
      <c r="E1200" t="s">
        <v>3380</v>
      </c>
      <c r="F1200">
        <v>2.08</v>
      </c>
      <c r="G1200" t="s">
        <v>27</v>
      </c>
      <c r="H1200" t="s">
        <v>14</v>
      </c>
      <c r="I1200" s="26">
        <v>42677</v>
      </c>
    </row>
    <row r="1201" spans="1:9" x14ac:dyDescent="0.2">
      <c r="A1201">
        <v>1188</v>
      </c>
      <c r="B1201" t="s">
        <v>3381</v>
      </c>
      <c r="C1201" t="s">
        <v>3382</v>
      </c>
      <c r="D1201" t="s">
        <v>2425</v>
      </c>
      <c r="E1201" t="s">
        <v>3381</v>
      </c>
      <c r="F1201">
        <v>2.6442000000000001</v>
      </c>
      <c r="G1201" t="s">
        <v>2427</v>
      </c>
      <c r="H1201" t="s">
        <v>14</v>
      </c>
      <c r="I1201" s="26">
        <v>42307</v>
      </c>
    </row>
    <row r="1202" spans="1:9" x14ac:dyDescent="0.2">
      <c r="A1202">
        <v>1189</v>
      </c>
      <c r="B1202" t="s">
        <v>3383</v>
      </c>
      <c r="C1202" t="s">
        <v>3384</v>
      </c>
      <c r="D1202" t="s">
        <v>3365</v>
      </c>
      <c r="E1202" t="s">
        <v>3383</v>
      </c>
      <c r="F1202">
        <v>0.29820000000000002</v>
      </c>
      <c r="G1202" t="s">
        <v>3366</v>
      </c>
      <c r="H1202" t="s">
        <v>14</v>
      </c>
      <c r="I1202" s="26">
        <v>42307</v>
      </c>
    </row>
    <row r="1203" spans="1:9" x14ac:dyDescent="0.2">
      <c r="A1203">
        <v>1190</v>
      </c>
      <c r="B1203" t="s">
        <v>3385</v>
      </c>
      <c r="C1203" t="s">
        <v>3386</v>
      </c>
      <c r="D1203" t="s">
        <v>2425</v>
      </c>
      <c r="E1203" t="s">
        <v>3385</v>
      </c>
      <c r="F1203">
        <v>5.3884999999999996</v>
      </c>
      <c r="G1203" t="s">
        <v>2427</v>
      </c>
      <c r="H1203" t="s">
        <v>14</v>
      </c>
      <c r="I1203" s="26">
        <v>42307</v>
      </c>
    </row>
    <row r="1204" spans="1:9" x14ac:dyDescent="0.2">
      <c r="A1204">
        <v>1191</v>
      </c>
      <c r="B1204" t="s">
        <v>3387</v>
      </c>
      <c r="C1204" t="s">
        <v>3388</v>
      </c>
      <c r="D1204" t="s">
        <v>2425</v>
      </c>
      <c r="E1204" t="s">
        <v>3387</v>
      </c>
      <c r="F1204">
        <v>24.7</v>
      </c>
      <c r="G1204" t="s">
        <v>2427</v>
      </c>
      <c r="H1204" t="s">
        <v>14</v>
      </c>
      <c r="I1204" s="26">
        <v>42307</v>
      </c>
    </row>
    <row r="1205" spans="1:9" x14ac:dyDescent="0.2">
      <c r="A1205">
        <v>1192</v>
      </c>
      <c r="B1205" t="s">
        <v>3389</v>
      </c>
      <c r="C1205" t="s">
        <v>3390</v>
      </c>
      <c r="D1205" t="s">
        <v>2425</v>
      </c>
      <c r="E1205" t="s">
        <v>3389</v>
      </c>
      <c r="F1205">
        <v>0.51329999999999998</v>
      </c>
      <c r="G1205" t="s">
        <v>2427</v>
      </c>
      <c r="H1205" t="s">
        <v>14</v>
      </c>
      <c r="I1205" s="26">
        <v>42307</v>
      </c>
    </row>
    <row r="1206" spans="1:9" x14ac:dyDescent="0.2">
      <c r="A1206">
        <v>1193</v>
      </c>
      <c r="B1206" t="s">
        <v>3391</v>
      </c>
      <c r="C1206" t="s">
        <v>3392</v>
      </c>
      <c r="D1206" t="s">
        <v>2425</v>
      </c>
      <c r="E1206" t="s">
        <v>3391</v>
      </c>
      <c r="F1206">
        <v>9.01</v>
      </c>
      <c r="G1206" t="s">
        <v>2427</v>
      </c>
      <c r="H1206" t="s">
        <v>14</v>
      </c>
      <c r="I1206" s="26">
        <v>42307</v>
      </c>
    </row>
    <row r="1207" spans="1:9" x14ac:dyDescent="0.2">
      <c r="A1207">
        <v>1194</v>
      </c>
      <c r="B1207" t="s">
        <v>3393</v>
      </c>
      <c r="C1207" t="s">
        <v>3394</v>
      </c>
      <c r="D1207" t="s">
        <v>26</v>
      </c>
      <c r="E1207" t="s">
        <v>3395</v>
      </c>
      <c r="F1207">
        <v>3.78</v>
      </c>
      <c r="G1207" t="s">
        <v>27</v>
      </c>
      <c r="H1207" t="s">
        <v>14</v>
      </c>
      <c r="I1207" s="26">
        <v>43217</v>
      </c>
    </row>
    <row r="1208" spans="1:9" x14ac:dyDescent="0.2">
      <c r="A1208">
        <v>1195</v>
      </c>
      <c r="B1208" t="s">
        <v>3396</v>
      </c>
      <c r="C1208" t="s">
        <v>3397</v>
      </c>
      <c r="D1208" t="s">
        <v>2425</v>
      </c>
      <c r="E1208" t="s">
        <v>3396</v>
      </c>
      <c r="F1208">
        <v>6.0651999999999999</v>
      </c>
      <c r="G1208" t="s">
        <v>2427</v>
      </c>
      <c r="H1208" t="s">
        <v>14</v>
      </c>
      <c r="I1208" s="26">
        <v>42307</v>
      </c>
    </row>
    <row r="1209" spans="1:9" x14ac:dyDescent="0.2">
      <c r="A1209">
        <v>1196</v>
      </c>
      <c r="B1209" t="s">
        <v>3398</v>
      </c>
      <c r="C1209" t="s">
        <v>3399</v>
      </c>
      <c r="D1209" t="s">
        <v>2425</v>
      </c>
      <c r="E1209" t="s">
        <v>3398</v>
      </c>
      <c r="F1209">
        <v>0.42499999999999999</v>
      </c>
      <c r="G1209" t="s">
        <v>2427</v>
      </c>
      <c r="H1209" t="s">
        <v>14</v>
      </c>
      <c r="I1209" s="26">
        <v>42307</v>
      </c>
    </row>
    <row r="1210" spans="1:9" x14ac:dyDescent="0.2">
      <c r="A1210">
        <v>1197</v>
      </c>
      <c r="B1210" t="s">
        <v>3400</v>
      </c>
      <c r="C1210" t="s">
        <v>3401</v>
      </c>
      <c r="D1210" t="s">
        <v>2425</v>
      </c>
      <c r="E1210" t="s">
        <v>3400</v>
      </c>
      <c r="F1210">
        <v>14.880699999999999</v>
      </c>
      <c r="G1210" t="s">
        <v>2427</v>
      </c>
      <c r="H1210" t="s">
        <v>14</v>
      </c>
      <c r="I1210" s="26">
        <v>42307</v>
      </c>
    </row>
    <row r="1211" spans="1:9" x14ac:dyDescent="0.2">
      <c r="A1211">
        <v>1198</v>
      </c>
      <c r="B1211" t="s">
        <v>3402</v>
      </c>
      <c r="C1211" t="s">
        <v>3403</v>
      </c>
      <c r="D1211" t="s">
        <v>2425</v>
      </c>
      <c r="E1211" t="s">
        <v>3402</v>
      </c>
      <c r="F1211">
        <v>6.7557</v>
      </c>
      <c r="G1211" t="s">
        <v>2427</v>
      </c>
      <c r="H1211" t="s">
        <v>14</v>
      </c>
      <c r="I1211" s="26">
        <v>42307</v>
      </c>
    </row>
    <row r="1212" spans="1:9" x14ac:dyDescent="0.2">
      <c r="A1212">
        <v>1199</v>
      </c>
      <c r="B1212" t="s">
        <v>3404</v>
      </c>
      <c r="C1212" t="s">
        <v>3403</v>
      </c>
      <c r="D1212" t="s">
        <v>2425</v>
      </c>
      <c r="E1212" t="s">
        <v>3404</v>
      </c>
      <c r="F1212">
        <v>5.9093999999999998</v>
      </c>
      <c r="G1212" t="s">
        <v>2427</v>
      </c>
      <c r="H1212" t="s">
        <v>14</v>
      </c>
      <c r="I1212" s="26">
        <v>42307</v>
      </c>
    </row>
    <row r="1213" spans="1:9" x14ac:dyDescent="0.2">
      <c r="A1213">
        <v>1200</v>
      </c>
      <c r="B1213" t="s">
        <v>3405</v>
      </c>
      <c r="C1213" t="s">
        <v>3406</v>
      </c>
      <c r="D1213" t="s">
        <v>2425</v>
      </c>
      <c r="E1213" t="s">
        <v>3405</v>
      </c>
      <c r="F1213">
        <v>10.826000000000001</v>
      </c>
      <c r="G1213" t="s">
        <v>2427</v>
      </c>
      <c r="H1213" t="s">
        <v>14</v>
      </c>
      <c r="I1213" s="26">
        <v>42307</v>
      </c>
    </row>
    <row r="1214" spans="1:9" x14ac:dyDescent="0.2">
      <c r="A1214">
        <v>1201</v>
      </c>
      <c r="B1214" t="s">
        <v>3407</v>
      </c>
      <c r="C1214" t="s">
        <v>3408</v>
      </c>
      <c r="D1214" t="s">
        <v>2425</v>
      </c>
      <c r="E1214" t="s">
        <v>3407</v>
      </c>
      <c r="F1214">
        <v>1.4041999999999999</v>
      </c>
      <c r="G1214" t="s">
        <v>2427</v>
      </c>
      <c r="H1214" t="s">
        <v>14</v>
      </c>
      <c r="I1214" s="26">
        <v>42307</v>
      </c>
    </row>
    <row r="1215" spans="1:9" x14ac:dyDescent="0.2">
      <c r="A1215">
        <v>1202</v>
      </c>
      <c r="B1215" t="s">
        <v>3409</v>
      </c>
      <c r="C1215" t="s">
        <v>3410</v>
      </c>
      <c r="D1215" t="s">
        <v>2425</v>
      </c>
      <c r="E1215" t="s">
        <v>3409</v>
      </c>
      <c r="F1215">
        <v>7.7184999999999997</v>
      </c>
      <c r="G1215" t="s">
        <v>2427</v>
      </c>
      <c r="H1215" t="s">
        <v>14</v>
      </c>
      <c r="I1215" s="26">
        <v>42307</v>
      </c>
    </row>
    <row r="1216" spans="1:9" x14ac:dyDescent="0.2">
      <c r="A1216">
        <v>1203</v>
      </c>
      <c r="B1216" t="s">
        <v>3411</v>
      </c>
      <c r="C1216" t="s">
        <v>3412</v>
      </c>
      <c r="D1216" t="s">
        <v>2425</v>
      </c>
      <c r="E1216" t="s">
        <v>3411</v>
      </c>
      <c r="F1216">
        <v>0.57289999999999996</v>
      </c>
      <c r="G1216" t="s">
        <v>2427</v>
      </c>
      <c r="H1216" t="s">
        <v>14</v>
      </c>
      <c r="I1216" s="26">
        <v>42307</v>
      </c>
    </row>
    <row r="1217" spans="1:9" x14ac:dyDescent="0.2">
      <c r="A1217">
        <v>1204</v>
      </c>
      <c r="B1217" t="s">
        <v>3413</v>
      </c>
      <c r="C1217" t="s">
        <v>3414</v>
      </c>
      <c r="D1217" t="s">
        <v>2425</v>
      </c>
      <c r="E1217" t="s">
        <v>3413</v>
      </c>
      <c r="F1217">
        <v>20.34</v>
      </c>
      <c r="G1217" t="s">
        <v>2427</v>
      </c>
      <c r="H1217" t="s">
        <v>14</v>
      </c>
      <c r="I1217" s="26">
        <v>42307</v>
      </c>
    </row>
    <row r="1218" spans="1:9" x14ac:dyDescent="0.2">
      <c r="A1218">
        <v>1205</v>
      </c>
      <c r="B1218" t="s">
        <v>3415</v>
      </c>
      <c r="C1218" t="s">
        <v>3416</v>
      </c>
      <c r="D1218" t="s">
        <v>2425</v>
      </c>
      <c r="E1218" t="s">
        <v>3415</v>
      </c>
      <c r="F1218">
        <v>24.27</v>
      </c>
      <c r="G1218" t="s">
        <v>2427</v>
      </c>
      <c r="H1218" t="s">
        <v>14</v>
      </c>
      <c r="I1218" s="26">
        <v>42307</v>
      </c>
    </row>
    <row r="1219" spans="1:9" x14ac:dyDescent="0.2">
      <c r="A1219">
        <v>1206</v>
      </c>
      <c r="B1219" t="s">
        <v>3417</v>
      </c>
      <c r="C1219" t="s">
        <v>3418</v>
      </c>
      <c r="D1219" t="s">
        <v>3419</v>
      </c>
      <c r="E1219" t="s">
        <v>3420</v>
      </c>
      <c r="F1219">
        <v>2.0699999999999998</v>
      </c>
      <c r="G1219" t="s">
        <v>3421</v>
      </c>
      <c r="H1219" t="s">
        <v>14</v>
      </c>
      <c r="I1219" s="26"/>
    </row>
    <row r="1220" spans="1:9" x14ac:dyDescent="0.2">
      <c r="A1220">
        <v>1207</v>
      </c>
      <c r="B1220" t="s">
        <v>3422</v>
      </c>
      <c r="C1220" t="s">
        <v>3423</v>
      </c>
      <c r="D1220" t="s">
        <v>3293</v>
      </c>
      <c r="E1220" t="s">
        <v>3424</v>
      </c>
      <c r="F1220">
        <v>11.4033</v>
      </c>
      <c r="G1220" t="s">
        <v>3295</v>
      </c>
      <c r="H1220" t="s">
        <v>14</v>
      </c>
      <c r="I1220" s="26">
        <v>43217</v>
      </c>
    </row>
    <row r="1221" spans="1:9" x14ac:dyDescent="0.2">
      <c r="A1221">
        <v>1208</v>
      </c>
      <c r="B1221" t="s">
        <v>3425</v>
      </c>
      <c r="C1221" t="s">
        <v>3426</v>
      </c>
      <c r="D1221" t="s">
        <v>3293</v>
      </c>
      <c r="E1221" t="s">
        <v>3427</v>
      </c>
      <c r="F1221">
        <v>0.66</v>
      </c>
      <c r="G1221" t="s">
        <v>3295</v>
      </c>
      <c r="H1221" t="s">
        <v>14</v>
      </c>
      <c r="I1221" s="26"/>
    </row>
    <row r="1222" spans="1:9" x14ac:dyDescent="0.2">
      <c r="A1222">
        <v>1209</v>
      </c>
      <c r="B1222" t="s">
        <v>3428</v>
      </c>
      <c r="C1222" t="s">
        <v>3429</v>
      </c>
      <c r="D1222" t="s">
        <v>3293</v>
      </c>
      <c r="E1222" t="s">
        <v>3430</v>
      </c>
      <c r="F1222">
        <v>2.13</v>
      </c>
      <c r="G1222" t="s">
        <v>3295</v>
      </c>
      <c r="H1222" t="s">
        <v>14</v>
      </c>
      <c r="I1222" s="26">
        <v>43217</v>
      </c>
    </row>
    <row r="1223" spans="1:9" x14ac:dyDescent="0.2">
      <c r="A1223">
        <v>1210</v>
      </c>
      <c r="B1223" t="s">
        <v>3431</v>
      </c>
      <c r="C1223" t="s">
        <v>3432</v>
      </c>
      <c r="D1223" t="s">
        <v>3293</v>
      </c>
      <c r="E1223" t="s">
        <v>3433</v>
      </c>
      <c r="F1223">
        <v>0.3</v>
      </c>
      <c r="G1223" t="s">
        <v>3295</v>
      </c>
      <c r="H1223" t="s">
        <v>14</v>
      </c>
      <c r="I1223" s="26">
        <v>43217</v>
      </c>
    </row>
    <row r="1224" spans="1:9" x14ac:dyDescent="0.2">
      <c r="A1224">
        <v>1211</v>
      </c>
      <c r="B1224" t="s">
        <v>3434</v>
      </c>
      <c r="C1224" t="s">
        <v>3435</v>
      </c>
      <c r="D1224" t="s">
        <v>3293</v>
      </c>
      <c r="E1224" t="s">
        <v>3436</v>
      </c>
      <c r="F1224">
        <v>1.02</v>
      </c>
      <c r="G1224" t="s">
        <v>3295</v>
      </c>
      <c r="H1224" t="s">
        <v>14</v>
      </c>
      <c r="I1224" s="26">
        <v>43217</v>
      </c>
    </row>
    <row r="1225" spans="1:9" x14ac:dyDescent="0.2">
      <c r="A1225">
        <v>1212</v>
      </c>
      <c r="B1225" t="s">
        <v>3437</v>
      </c>
      <c r="C1225" t="s">
        <v>3438</v>
      </c>
      <c r="D1225" t="s">
        <v>3293</v>
      </c>
      <c r="E1225" t="s">
        <v>3439</v>
      </c>
      <c r="F1225">
        <v>0.36</v>
      </c>
      <c r="G1225" t="s">
        <v>3295</v>
      </c>
      <c r="H1225" t="s">
        <v>14</v>
      </c>
      <c r="I1225" s="26">
        <v>43217</v>
      </c>
    </row>
    <row r="1226" spans="1:9" x14ac:dyDescent="0.2">
      <c r="A1226">
        <v>1213</v>
      </c>
      <c r="B1226" t="s">
        <v>3440</v>
      </c>
      <c r="C1226" t="s">
        <v>3441</v>
      </c>
      <c r="D1226" t="s">
        <v>3293</v>
      </c>
      <c r="E1226" t="s">
        <v>3442</v>
      </c>
      <c r="F1226">
        <v>0.38</v>
      </c>
      <c r="G1226" t="s">
        <v>3295</v>
      </c>
      <c r="H1226" t="s">
        <v>14</v>
      </c>
      <c r="I1226" s="26">
        <v>43217</v>
      </c>
    </row>
    <row r="1227" spans="1:9" x14ac:dyDescent="0.2">
      <c r="A1227">
        <v>1214</v>
      </c>
      <c r="B1227" t="s">
        <v>3443</v>
      </c>
      <c r="C1227" t="s">
        <v>3444</v>
      </c>
      <c r="D1227" t="s">
        <v>3293</v>
      </c>
      <c r="E1227" t="s">
        <v>3445</v>
      </c>
      <c r="F1227">
        <v>1.66</v>
      </c>
      <c r="G1227" t="s">
        <v>3295</v>
      </c>
      <c r="H1227" t="s">
        <v>14</v>
      </c>
      <c r="I1227" s="26">
        <v>42933</v>
      </c>
    </row>
    <row r="1228" spans="1:9" x14ac:dyDescent="0.2">
      <c r="A1228">
        <v>1215</v>
      </c>
      <c r="B1228" t="s">
        <v>3446</v>
      </c>
      <c r="C1228" t="s">
        <v>3447</v>
      </c>
      <c r="D1228" t="s">
        <v>3448</v>
      </c>
      <c r="E1228" t="s">
        <v>3449</v>
      </c>
      <c r="F1228">
        <v>0.88</v>
      </c>
      <c r="G1228" t="s">
        <v>3450</v>
      </c>
      <c r="H1228" t="s">
        <v>14</v>
      </c>
      <c r="I1228" s="26">
        <v>42677</v>
      </c>
    </row>
    <row r="1229" spans="1:9" x14ac:dyDescent="0.2">
      <c r="A1229">
        <v>1216</v>
      </c>
      <c r="B1229" t="s">
        <v>3451</v>
      </c>
      <c r="C1229" t="s">
        <v>3452</v>
      </c>
      <c r="D1229" t="s">
        <v>3419</v>
      </c>
      <c r="E1229" t="s">
        <v>3453</v>
      </c>
      <c r="F1229">
        <v>0.06</v>
      </c>
      <c r="G1229" t="s">
        <v>3421</v>
      </c>
      <c r="H1229" t="s">
        <v>14</v>
      </c>
      <c r="I1229" s="26">
        <v>42677</v>
      </c>
    </row>
    <row r="1230" spans="1:9" x14ac:dyDescent="0.2">
      <c r="A1230">
        <v>1217</v>
      </c>
      <c r="B1230" t="s">
        <v>3454</v>
      </c>
      <c r="C1230" t="s">
        <v>3455</v>
      </c>
      <c r="D1230" t="s">
        <v>3419</v>
      </c>
      <c r="E1230" t="s">
        <v>3456</v>
      </c>
      <c r="F1230">
        <v>6.8000000000000005E-2</v>
      </c>
      <c r="G1230" t="s">
        <v>3421</v>
      </c>
      <c r="H1230" t="s">
        <v>14</v>
      </c>
      <c r="I1230" s="26">
        <v>42677</v>
      </c>
    </row>
    <row r="1231" spans="1:9" x14ac:dyDescent="0.2">
      <c r="A1231">
        <v>1218</v>
      </c>
      <c r="B1231" t="s">
        <v>3457</v>
      </c>
      <c r="C1231" t="s">
        <v>3458</v>
      </c>
      <c r="D1231" t="s">
        <v>3293</v>
      </c>
      <c r="E1231" t="s">
        <v>3459</v>
      </c>
      <c r="F1231">
        <v>3.2008000000000001</v>
      </c>
      <c r="G1231" t="s">
        <v>3295</v>
      </c>
      <c r="H1231" t="s">
        <v>14</v>
      </c>
      <c r="I1231" s="26">
        <v>43217</v>
      </c>
    </row>
    <row r="1232" spans="1:9" x14ac:dyDescent="0.2">
      <c r="A1232">
        <v>1219</v>
      </c>
      <c r="B1232" t="s">
        <v>3460</v>
      </c>
      <c r="C1232" t="s">
        <v>3461</v>
      </c>
      <c r="D1232" t="s">
        <v>3293</v>
      </c>
      <c r="E1232" t="s">
        <v>3462</v>
      </c>
      <c r="F1232">
        <v>3.6</v>
      </c>
      <c r="G1232" t="s">
        <v>3295</v>
      </c>
      <c r="H1232" t="s">
        <v>14</v>
      </c>
      <c r="I1232" s="26">
        <v>42615</v>
      </c>
    </row>
    <row r="1233" spans="1:9" x14ac:dyDescent="0.2">
      <c r="A1233">
        <v>1220</v>
      </c>
      <c r="B1233" t="s">
        <v>3463</v>
      </c>
      <c r="C1233" t="s">
        <v>3464</v>
      </c>
      <c r="D1233" t="s">
        <v>3293</v>
      </c>
      <c r="E1233" t="s">
        <v>3465</v>
      </c>
      <c r="F1233">
        <v>0.14099999999999999</v>
      </c>
      <c r="G1233" t="s">
        <v>3295</v>
      </c>
      <c r="H1233" t="s">
        <v>14</v>
      </c>
      <c r="I1233" s="26">
        <v>42615</v>
      </c>
    </row>
    <row r="1234" spans="1:9" x14ac:dyDescent="0.2">
      <c r="A1234">
        <v>1221</v>
      </c>
      <c r="B1234" t="s">
        <v>3466</v>
      </c>
      <c r="C1234" t="s">
        <v>3467</v>
      </c>
      <c r="D1234" t="s">
        <v>3468</v>
      </c>
      <c r="E1234" t="s">
        <v>3466</v>
      </c>
      <c r="F1234">
        <v>5.9105999999999996</v>
      </c>
      <c r="G1234" t="s">
        <v>3469</v>
      </c>
      <c r="H1234" t="s">
        <v>14</v>
      </c>
      <c r="I1234" s="26">
        <v>42677</v>
      </c>
    </row>
    <row r="1235" spans="1:9" x14ac:dyDescent="0.2">
      <c r="A1235">
        <v>1222</v>
      </c>
      <c r="B1235" t="s">
        <v>3470</v>
      </c>
      <c r="C1235" t="s">
        <v>3471</v>
      </c>
      <c r="D1235" t="s">
        <v>4565</v>
      </c>
      <c r="E1235" t="s">
        <v>3472</v>
      </c>
      <c r="F1235">
        <v>6.5</v>
      </c>
      <c r="G1235" t="s">
        <v>3473</v>
      </c>
      <c r="H1235" t="s">
        <v>14</v>
      </c>
      <c r="I1235" s="26"/>
    </row>
    <row r="1236" spans="1:9" x14ac:dyDescent="0.2">
      <c r="A1236">
        <v>1223</v>
      </c>
      <c r="B1236" t="s">
        <v>3474</v>
      </c>
      <c r="C1236" t="s">
        <v>3475</v>
      </c>
      <c r="D1236" t="s">
        <v>4565</v>
      </c>
      <c r="E1236" t="s">
        <v>3476</v>
      </c>
      <c r="F1236">
        <v>6.05</v>
      </c>
      <c r="G1236" t="s">
        <v>3473</v>
      </c>
      <c r="H1236" t="s">
        <v>14</v>
      </c>
      <c r="I1236" s="26"/>
    </row>
    <row r="1237" spans="1:9" x14ac:dyDescent="0.2">
      <c r="A1237">
        <v>1224</v>
      </c>
      <c r="B1237" t="s">
        <v>3477</v>
      </c>
      <c r="C1237" t="s">
        <v>3478</v>
      </c>
      <c r="D1237" t="s">
        <v>40</v>
      </c>
      <c r="E1237" t="s">
        <v>3479</v>
      </c>
      <c r="F1237">
        <v>19.88</v>
      </c>
      <c r="G1237" t="s">
        <v>42</v>
      </c>
      <c r="H1237" t="s">
        <v>14</v>
      </c>
      <c r="I1237" s="26">
        <v>43077</v>
      </c>
    </row>
    <row r="1238" spans="1:9" x14ac:dyDescent="0.2">
      <c r="A1238">
        <v>1225</v>
      </c>
      <c r="B1238" t="s">
        <v>3480</v>
      </c>
      <c r="C1238" t="s">
        <v>3481</v>
      </c>
      <c r="D1238" t="s">
        <v>40</v>
      </c>
      <c r="E1238" t="s">
        <v>3482</v>
      </c>
      <c r="F1238">
        <v>17.09</v>
      </c>
      <c r="G1238" t="s">
        <v>42</v>
      </c>
      <c r="H1238" t="s">
        <v>14</v>
      </c>
      <c r="I1238" s="26">
        <v>43077</v>
      </c>
    </row>
    <row r="1239" spans="1:9" x14ac:dyDescent="0.2">
      <c r="A1239">
        <v>1226</v>
      </c>
      <c r="B1239" t="s">
        <v>3483</v>
      </c>
      <c r="C1239" t="s">
        <v>3484</v>
      </c>
      <c r="D1239" t="s">
        <v>508</v>
      </c>
      <c r="E1239" t="s">
        <v>3485</v>
      </c>
      <c r="F1239">
        <v>11.86</v>
      </c>
      <c r="G1239" t="s">
        <v>510</v>
      </c>
      <c r="H1239" t="s">
        <v>14</v>
      </c>
      <c r="I1239" s="26"/>
    </row>
    <row r="1240" spans="1:9" x14ac:dyDescent="0.2">
      <c r="A1240">
        <v>1227</v>
      </c>
      <c r="B1240" t="s">
        <v>3486</v>
      </c>
      <c r="C1240" t="s">
        <v>3487</v>
      </c>
      <c r="D1240" t="s">
        <v>508</v>
      </c>
      <c r="E1240" t="s">
        <v>3488</v>
      </c>
      <c r="F1240">
        <v>10.92</v>
      </c>
      <c r="G1240" t="s">
        <v>510</v>
      </c>
      <c r="H1240" t="s">
        <v>14</v>
      </c>
      <c r="I1240" s="26"/>
    </row>
    <row r="1241" spans="1:9" x14ac:dyDescent="0.2">
      <c r="A1241">
        <v>1228</v>
      </c>
      <c r="B1241" t="s">
        <v>3489</v>
      </c>
      <c r="C1241" t="s">
        <v>3490</v>
      </c>
      <c r="D1241" t="s">
        <v>508</v>
      </c>
      <c r="E1241" t="s">
        <v>3491</v>
      </c>
      <c r="F1241">
        <v>10.36</v>
      </c>
      <c r="G1241" t="s">
        <v>510</v>
      </c>
      <c r="H1241" t="s">
        <v>14</v>
      </c>
      <c r="I1241" s="26">
        <v>42339</v>
      </c>
    </row>
    <row r="1242" spans="1:9" x14ac:dyDescent="0.2">
      <c r="A1242">
        <v>1229</v>
      </c>
      <c r="B1242" t="s">
        <v>3492</v>
      </c>
      <c r="C1242" t="s">
        <v>3493</v>
      </c>
      <c r="D1242" t="s">
        <v>508</v>
      </c>
      <c r="E1242" t="s">
        <v>3494</v>
      </c>
      <c r="F1242">
        <v>11.98</v>
      </c>
      <c r="G1242" t="s">
        <v>510</v>
      </c>
      <c r="H1242" t="s">
        <v>14</v>
      </c>
      <c r="I1242" s="26">
        <v>42339</v>
      </c>
    </row>
    <row r="1243" spans="1:9" x14ac:dyDescent="0.2">
      <c r="A1243">
        <v>1230</v>
      </c>
      <c r="B1243" t="s">
        <v>3495</v>
      </c>
      <c r="C1243" t="s">
        <v>3496</v>
      </c>
      <c r="D1243" t="s">
        <v>3293</v>
      </c>
      <c r="E1243" t="s">
        <v>3497</v>
      </c>
      <c r="F1243">
        <v>20.420000000000002</v>
      </c>
      <c r="G1243" t="s">
        <v>3295</v>
      </c>
      <c r="H1243" t="s">
        <v>14</v>
      </c>
      <c r="I1243" s="26">
        <v>43171</v>
      </c>
    </row>
    <row r="1244" spans="1:9" x14ac:dyDescent="0.2">
      <c r="A1244">
        <v>1231</v>
      </c>
      <c r="B1244" t="s">
        <v>3498</v>
      </c>
      <c r="C1244" t="s">
        <v>3499</v>
      </c>
      <c r="D1244" t="s">
        <v>3293</v>
      </c>
      <c r="E1244" t="s">
        <v>3500</v>
      </c>
      <c r="F1244">
        <v>17.11</v>
      </c>
      <c r="G1244" t="s">
        <v>3295</v>
      </c>
      <c r="H1244" t="s">
        <v>14</v>
      </c>
      <c r="I1244" s="26">
        <v>43171</v>
      </c>
    </row>
    <row r="1245" spans="1:9" x14ac:dyDescent="0.2">
      <c r="A1245">
        <v>1232</v>
      </c>
      <c r="B1245" t="s">
        <v>3501</v>
      </c>
      <c r="C1245" t="s">
        <v>3502</v>
      </c>
      <c r="D1245" t="s">
        <v>3293</v>
      </c>
      <c r="E1245" t="s">
        <v>3503</v>
      </c>
      <c r="F1245">
        <v>9.98</v>
      </c>
      <c r="G1245" t="s">
        <v>3295</v>
      </c>
      <c r="H1245" t="s">
        <v>14</v>
      </c>
      <c r="I1245" s="26">
        <v>43171</v>
      </c>
    </row>
    <row r="1246" spans="1:9" x14ac:dyDescent="0.2">
      <c r="A1246">
        <v>1233</v>
      </c>
      <c r="B1246" t="s">
        <v>3504</v>
      </c>
      <c r="C1246" t="s">
        <v>3505</v>
      </c>
      <c r="D1246" t="s">
        <v>508</v>
      </c>
      <c r="E1246" t="s">
        <v>3506</v>
      </c>
      <c r="F1246">
        <v>10.36</v>
      </c>
      <c r="G1246" t="s">
        <v>510</v>
      </c>
      <c r="H1246" t="s">
        <v>14</v>
      </c>
      <c r="I1246" s="26">
        <v>43165</v>
      </c>
    </row>
    <row r="1247" spans="1:9" x14ac:dyDescent="0.2">
      <c r="A1247">
        <v>1234</v>
      </c>
      <c r="B1247" t="s">
        <v>3507</v>
      </c>
      <c r="C1247" t="s">
        <v>3508</v>
      </c>
      <c r="D1247" t="s">
        <v>3293</v>
      </c>
      <c r="E1247" t="s">
        <v>3509</v>
      </c>
      <c r="F1247">
        <v>18.53</v>
      </c>
      <c r="G1247" t="s">
        <v>3295</v>
      </c>
      <c r="H1247" t="s">
        <v>14</v>
      </c>
      <c r="I1247" s="26">
        <v>43171</v>
      </c>
    </row>
    <row r="1248" spans="1:9" x14ac:dyDescent="0.2">
      <c r="A1248">
        <v>1235</v>
      </c>
      <c r="B1248" t="s">
        <v>3510</v>
      </c>
      <c r="C1248" t="s">
        <v>3511</v>
      </c>
      <c r="D1248" t="s">
        <v>3293</v>
      </c>
      <c r="E1248" t="s">
        <v>3512</v>
      </c>
      <c r="F1248">
        <v>28.48</v>
      </c>
      <c r="G1248" t="s">
        <v>3295</v>
      </c>
      <c r="H1248" t="s">
        <v>14</v>
      </c>
      <c r="I1248" s="26">
        <v>43171</v>
      </c>
    </row>
    <row r="1249" spans="1:9" x14ac:dyDescent="0.2">
      <c r="A1249">
        <v>1236</v>
      </c>
      <c r="B1249" t="s">
        <v>4425</v>
      </c>
      <c r="C1249" t="s">
        <v>4426</v>
      </c>
      <c r="D1249" t="s">
        <v>3293</v>
      </c>
      <c r="E1249" t="s">
        <v>4427</v>
      </c>
      <c r="F1249">
        <v>54.79</v>
      </c>
      <c r="G1249" t="s">
        <v>3295</v>
      </c>
      <c r="H1249" t="s">
        <v>14</v>
      </c>
      <c r="I1249" s="26">
        <v>43228</v>
      </c>
    </row>
    <row r="1250" spans="1:9" x14ac:dyDescent="0.2">
      <c r="A1250">
        <v>1237</v>
      </c>
      <c r="B1250" t="s">
        <v>3513</v>
      </c>
      <c r="C1250" t="s">
        <v>3514</v>
      </c>
      <c r="D1250" t="s">
        <v>3515</v>
      </c>
      <c r="E1250" t="s">
        <v>3516</v>
      </c>
      <c r="F1250">
        <v>32.619999999999997</v>
      </c>
      <c r="G1250" t="s">
        <v>3517</v>
      </c>
      <c r="H1250" t="s">
        <v>14</v>
      </c>
      <c r="I1250" s="26">
        <v>43171</v>
      </c>
    </row>
    <row r="1251" spans="1:9" x14ac:dyDescent="0.2">
      <c r="A1251">
        <v>1238</v>
      </c>
      <c r="B1251" t="s">
        <v>3518</v>
      </c>
      <c r="C1251" t="s">
        <v>3519</v>
      </c>
      <c r="D1251" t="s">
        <v>1233</v>
      </c>
      <c r="E1251" t="s">
        <v>3520</v>
      </c>
      <c r="F1251">
        <v>77.36</v>
      </c>
      <c r="G1251" t="s">
        <v>1235</v>
      </c>
      <c r="H1251" t="s">
        <v>14</v>
      </c>
      <c r="I1251" s="26">
        <v>43265</v>
      </c>
    </row>
    <row r="1252" spans="1:9" x14ac:dyDescent="0.2">
      <c r="A1252">
        <v>1239</v>
      </c>
      <c r="B1252" t="s">
        <v>3521</v>
      </c>
      <c r="C1252" t="s">
        <v>3522</v>
      </c>
      <c r="D1252" t="s">
        <v>40</v>
      </c>
      <c r="E1252" t="s">
        <v>3523</v>
      </c>
      <c r="F1252">
        <v>49.51</v>
      </c>
      <c r="G1252" t="s">
        <v>42</v>
      </c>
      <c r="H1252" t="s">
        <v>14</v>
      </c>
      <c r="I1252" s="26">
        <v>42817</v>
      </c>
    </row>
    <row r="1253" spans="1:9" x14ac:dyDescent="0.2">
      <c r="A1253">
        <v>1240</v>
      </c>
      <c r="B1253" t="s">
        <v>4503</v>
      </c>
      <c r="C1253" t="s">
        <v>4512</v>
      </c>
      <c r="D1253" t="s">
        <v>40</v>
      </c>
      <c r="E1253" t="s">
        <v>4513</v>
      </c>
      <c r="F1253">
        <v>26.71</v>
      </c>
      <c r="G1253" t="s">
        <v>42</v>
      </c>
      <c r="H1253" t="s">
        <v>14</v>
      </c>
      <c r="I1253" s="26"/>
    </row>
    <row r="1254" spans="1:9" x14ac:dyDescent="0.2">
      <c r="A1254">
        <v>1241</v>
      </c>
      <c r="B1254" t="s">
        <v>3524</v>
      </c>
      <c r="C1254" t="s">
        <v>3525</v>
      </c>
      <c r="D1254" t="s">
        <v>3526</v>
      </c>
      <c r="E1254" t="s">
        <v>3527</v>
      </c>
      <c r="F1254">
        <v>20.81</v>
      </c>
      <c r="G1254" t="s">
        <v>3528</v>
      </c>
      <c r="H1254" t="s">
        <v>14</v>
      </c>
      <c r="I1254" s="26"/>
    </row>
    <row r="1255" spans="1:9" x14ac:dyDescent="0.2">
      <c r="A1255">
        <v>1242</v>
      </c>
      <c r="B1255" t="s">
        <v>4501</v>
      </c>
      <c r="C1255" t="s">
        <v>4509</v>
      </c>
      <c r="D1255" t="s">
        <v>40</v>
      </c>
      <c r="E1255" t="s">
        <v>4510</v>
      </c>
      <c r="F1255">
        <v>33.74</v>
      </c>
      <c r="G1255" t="s">
        <v>42</v>
      </c>
      <c r="H1255" t="s">
        <v>14</v>
      </c>
      <c r="I1255" s="26">
        <v>43235</v>
      </c>
    </row>
    <row r="1256" spans="1:9" x14ac:dyDescent="0.2">
      <c r="A1256">
        <v>1243</v>
      </c>
      <c r="B1256" t="s">
        <v>3529</v>
      </c>
      <c r="C1256" t="s">
        <v>3530</v>
      </c>
      <c r="D1256" t="s">
        <v>537</v>
      </c>
      <c r="E1256" t="s">
        <v>3531</v>
      </c>
      <c r="F1256">
        <v>35.25</v>
      </c>
      <c r="G1256" t="s">
        <v>539</v>
      </c>
      <c r="H1256" t="s">
        <v>14</v>
      </c>
      <c r="I1256" s="26">
        <v>42290</v>
      </c>
    </row>
    <row r="1257" spans="1:9" x14ac:dyDescent="0.2">
      <c r="A1257">
        <v>1244</v>
      </c>
      <c r="B1257" t="s">
        <v>3532</v>
      </c>
      <c r="C1257" t="s">
        <v>3533</v>
      </c>
      <c r="D1257" t="s">
        <v>2203</v>
      </c>
      <c r="E1257" t="s">
        <v>3534</v>
      </c>
      <c r="F1257">
        <v>10.95</v>
      </c>
      <c r="G1257" t="s">
        <v>2205</v>
      </c>
      <c r="H1257" t="s">
        <v>14</v>
      </c>
      <c r="I1257" s="26">
        <v>42339</v>
      </c>
    </row>
    <row r="1258" spans="1:9" x14ac:dyDescent="0.2">
      <c r="A1258">
        <v>1245</v>
      </c>
      <c r="B1258" t="s">
        <v>3535</v>
      </c>
      <c r="C1258" t="s">
        <v>3536</v>
      </c>
      <c r="D1258" t="s">
        <v>2203</v>
      </c>
      <c r="E1258" t="s">
        <v>3537</v>
      </c>
      <c r="F1258">
        <v>10.95</v>
      </c>
      <c r="G1258" t="s">
        <v>2205</v>
      </c>
      <c r="H1258" t="s">
        <v>3538</v>
      </c>
      <c r="I1258" s="26">
        <v>42339</v>
      </c>
    </row>
    <row r="1259" spans="1:9" x14ac:dyDescent="0.2">
      <c r="A1259">
        <v>1246</v>
      </c>
      <c r="B1259" t="s">
        <v>3539</v>
      </c>
      <c r="C1259" t="s">
        <v>3540</v>
      </c>
      <c r="D1259" t="s">
        <v>2095</v>
      </c>
      <c r="E1259" t="s">
        <v>3541</v>
      </c>
      <c r="F1259">
        <v>27.84</v>
      </c>
      <c r="G1259" t="s">
        <v>2097</v>
      </c>
      <c r="H1259" t="s">
        <v>3542</v>
      </c>
      <c r="I1259" s="26">
        <v>42289</v>
      </c>
    </row>
    <row r="1260" spans="1:9" x14ac:dyDescent="0.2">
      <c r="A1260">
        <v>1247</v>
      </c>
      <c r="B1260" t="s">
        <v>3543</v>
      </c>
      <c r="C1260" t="s">
        <v>3544</v>
      </c>
      <c r="D1260" t="s">
        <v>40</v>
      </c>
      <c r="E1260" t="s">
        <v>3545</v>
      </c>
      <c r="F1260">
        <v>37.28</v>
      </c>
      <c r="G1260" t="s">
        <v>42</v>
      </c>
      <c r="H1260" t="s">
        <v>14</v>
      </c>
      <c r="I1260" s="26">
        <v>42290</v>
      </c>
    </row>
    <row r="1261" spans="1:9" x14ac:dyDescent="0.2">
      <c r="A1261">
        <v>1248</v>
      </c>
      <c r="B1261" t="s">
        <v>3546</v>
      </c>
      <c r="C1261" t="s">
        <v>3547</v>
      </c>
      <c r="D1261" t="s">
        <v>40</v>
      </c>
      <c r="E1261" t="s">
        <v>3548</v>
      </c>
      <c r="F1261">
        <v>16.420000000000002</v>
      </c>
      <c r="G1261" t="s">
        <v>42</v>
      </c>
      <c r="H1261" t="s">
        <v>14</v>
      </c>
      <c r="I1261" s="26"/>
    </row>
    <row r="1262" spans="1:9" x14ac:dyDescent="0.2">
      <c r="A1262">
        <v>1249</v>
      </c>
      <c r="B1262" t="s">
        <v>3549</v>
      </c>
      <c r="C1262" t="s">
        <v>3550</v>
      </c>
      <c r="D1262" t="s">
        <v>40</v>
      </c>
      <c r="E1262" t="s">
        <v>3551</v>
      </c>
      <c r="F1262">
        <v>14.72</v>
      </c>
      <c r="G1262" t="s">
        <v>42</v>
      </c>
      <c r="H1262" t="s">
        <v>14</v>
      </c>
      <c r="I1262" s="26">
        <v>42339</v>
      </c>
    </row>
    <row r="1263" spans="1:9" x14ac:dyDescent="0.2">
      <c r="A1263">
        <v>1250</v>
      </c>
      <c r="B1263" t="s">
        <v>3552</v>
      </c>
      <c r="C1263" t="s">
        <v>3553</v>
      </c>
      <c r="D1263" t="s">
        <v>40</v>
      </c>
      <c r="E1263" t="s">
        <v>3554</v>
      </c>
      <c r="F1263">
        <v>7.49</v>
      </c>
      <c r="G1263" t="s">
        <v>42</v>
      </c>
      <c r="H1263" t="s">
        <v>14</v>
      </c>
      <c r="I1263" s="26">
        <v>42289</v>
      </c>
    </row>
    <row r="1264" spans="1:9" x14ac:dyDescent="0.2">
      <c r="A1264">
        <v>1251</v>
      </c>
      <c r="B1264" t="s">
        <v>3555</v>
      </c>
      <c r="C1264" t="s">
        <v>3556</v>
      </c>
      <c r="D1264" t="s">
        <v>35</v>
      </c>
      <c r="E1264" t="s">
        <v>3557</v>
      </c>
      <c r="F1264">
        <v>95.68</v>
      </c>
      <c r="G1264" t="s">
        <v>37</v>
      </c>
      <c r="H1264" t="s">
        <v>14</v>
      </c>
      <c r="I1264" s="26">
        <v>42290</v>
      </c>
    </row>
    <row r="1265" spans="1:9" x14ac:dyDescent="0.2">
      <c r="A1265">
        <v>1252</v>
      </c>
      <c r="B1265" t="s">
        <v>3558</v>
      </c>
      <c r="C1265" t="s">
        <v>3559</v>
      </c>
      <c r="D1265" t="s">
        <v>35</v>
      </c>
      <c r="E1265" t="s">
        <v>3560</v>
      </c>
      <c r="F1265">
        <v>47.96</v>
      </c>
      <c r="G1265" t="s">
        <v>37</v>
      </c>
      <c r="H1265" t="s">
        <v>14</v>
      </c>
      <c r="I1265" s="26"/>
    </row>
    <row r="1266" spans="1:9" x14ac:dyDescent="0.2">
      <c r="A1266">
        <v>1253</v>
      </c>
      <c r="B1266" t="s">
        <v>3561</v>
      </c>
      <c r="C1266" t="s">
        <v>3562</v>
      </c>
      <c r="D1266" t="s">
        <v>415</v>
      </c>
      <c r="E1266" t="s">
        <v>3563</v>
      </c>
      <c r="F1266">
        <v>126.65</v>
      </c>
      <c r="G1266" t="s">
        <v>417</v>
      </c>
      <c r="H1266" t="s">
        <v>14</v>
      </c>
      <c r="I1266" s="26"/>
    </row>
    <row r="1267" spans="1:9" x14ac:dyDescent="0.2">
      <c r="A1267">
        <v>1254</v>
      </c>
      <c r="B1267" t="s">
        <v>3564</v>
      </c>
      <c r="C1267" t="s">
        <v>3565</v>
      </c>
      <c r="D1267" t="s">
        <v>3566</v>
      </c>
      <c r="E1267" t="s">
        <v>3567</v>
      </c>
      <c r="F1267">
        <v>13.768000000000001</v>
      </c>
      <c r="G1267" t="s">
        <v>3568</v>
      </c>
      <c r="H1267" t="s">
        <v>14</v>
      </c>
      <c r="I1267" s="26"/>
    </row>
    <row r="1268" spans="1:9" x14ac:dyDescent="0.2">
      <c r="A1268">
        <v>1255</v>
      </c>
      <c r="B1268" t="s">
        <v>3569</v>
      </c>
      <c r="C1268" t="s">
        <v>3570</v>
      </c>
      <c r="D1268" t="s">
        <v>3566</v>
      </c>
      <c r="E1268" t="s">
        <v>3571</v>
      </c>
      <c r="F1268">
        <v>23.39</v>
      </c>
      <c r="G1268" t="s">
        <v>3568</v>
      </c>
      <c r="H1268" t="s">
        <v>14</v>
      </c>
      <c r="I1268" s="26"/>
    </row>
    <row r="1269" spans="1:9" x14ac:dyDescent="0.2">
      <c r="A1269">
        <v>1256</v>
      </c>
      <c r="B1269" t="s">
        <v>3572</v>
      </c>
      <c r="C1269" t="s">
        <v>3573</v>
      </c>
      <c r="D1269" t="s">
        <v>3566</v>
      </c>
      <c r="E1269" t="s">
        <v>3574</v>
      </c>
      <c r="F1269">
        <v>30</v>
      </c>
      <c r="G1269" t="s">
        <v>3568</v>
      </c>
      <c r="H1269" t="s">
        <v>14</v>
      </c>
      <c r="I1269" s="26"/>
    </row>
    <row r="1270" spans="1:9" x14ac:dyDescent="0.2">
      <c r="A1270">
        <v>1257</v>
      </c>
      <c r="B1270" t="s">
        <v>3575</v>
      </c>
      <c r="C1270" t="s">
        <v>3576</v>
      </c>
      <c r="D1270" t="s">
        <v>3566</v>
      </c>
      <c r="E1270" t="s">
        <v>3575</v>
      </c>
      <c r="F1270">
        <v>93.06</v>
      </c>
      <c r="G1270" t="s">
        <v>3568</v>
      </c>
      <c r="H1270" t="s">
        <v>14</v>
      </c>
      <c r="I1270" s="26">
        <v>42605</v>
      </c>
    </row>
    <row r="1271" spans="1:9" x14ac:dyDescent="0.2">
      <c r="A1271">
        <v>1258</v>
      </c>
      <c r="B1271" t="s">
        <v>3577</v>
      </c>
      <c r="C1271" t="s">
        <v>3578</v>
      </c>
      <c r="D1271" t="s">
        <v>3566</v>
      </c>
      <c r="E1271" t="s">
        <v>3577</v>
      </c>
      <c r="F1271">
        <v>93.06</v>
      </c>
      <c r="G1271" t="s">
        <v>3568</v>
      </c>
      <c r="H1271" t="s">
        <v>14</v>
      </c>
      <c r="I1271" s="26">
        <v>42605</v>
      </c>
    </row>
    <row r="1272" spans="1:9" x14ac:dyDescent="0.2">
      <c r="A1272">
        <v>1259</v>
      </c>
      <c r="B1272" t="s">
        <v>3579</v>
      </c>
      <c r="C1272" t="s">
        <v>3580</v>
      </c>
      <c r="D1272" t="s">
        <v>3566</v>
      </c>
      <c r="E1272" t="s">
        <v>3581</v>
      </c>
      <c r="F1272">
        <v>77.489999999999995</v>
      </c>
      <c r="G1272" t="s">
        <v>3568</v>
      </c>
      <c r="H1272" t="s">
        <v>14</v>
      </c>
      <c r="I1272" s="26"/>
    </row>
    <row r="1273" spans="1:9" x14ac:dyDescent="0.2">
      <c r="A1273">
        <v>1260</v>
      </c>
      <c r="B1273" t="s">
        <v>3582</v>
      </c>
      <c r="C1273" t="s">
        <v>3583</v>
      </c>
      <c r="D1273" t="s">
        <v>3566</v>
      </c>
      <c r="E1273" t="s">
        <v>3584</v>
      </c>
      <c r="F1273">
        <v>56.31</v>
      </c>
      <c r="G1273" t="s">
        <v>3568</v>
      </c>
      <c r="H1273" t="s">
        <v>14</v>
      </c>
      <c r="I1273" s="26">
        <v>42381</v>
      </c>
    </row>
    <row r="1274" spans="1:9" x14ac:dyDescent="0.2">
      <c r="A1274">
        <v>1261</v>
      </c>
      <c r="B1274" t="s">
        <v>3585</v>
      </c>
      <c r="C1274" t="s">
        <v>3586</v>
      </c>
      <c r="D1274" t="s">
        <v>415</v>
      </c>
      <c r="E1274" t="s">
        <v>3587</v>
      </c>
      <c r="F1274">
        <v>36.479999999999997</v>
      </c>
      <c r="G1274" t="s">
        <v>417</v>
      </c>
      <c r="H1274" t="s">
        <v>14</v>
      </c>
      <c r="I1274" s="26">
        <v>42531</v>
      </c>
    </row>
    <row r="1275" spans="1:9" x14ac:dyDescent="0.2">
      <c r="A1275">
        <v>1262</v>
      </c>
      <c r="B1275" t="s">
        <v>3588</v>
      </c>
      <c r="C1275" t="s">
        <v>3589</v>
      </c>
      <c r="D1275" t="s">
        <v>3590</v>
      </c>
      <c r="E1275" t="s">
        <v>3591</v>
      </c>
      <c r="F1275">
        <v>35.49</v>
      </c>
      <c r="G1275" t="s">
        <v>3592</v>
      </c>
      <c r="H1275" t="s">
        <v>14</v>
      </c>
      <c r="I1275" s="26">
        <v>43171</v>
      </c>
    </row>
    <row r="1276" spans="1:9" x14ac:dyDescent="0.2">
      <c r="A1276">
        <v>1263</v>
      </c>
      <c r="B1276" t="s">
        <v>3593</v>
      </c>
      <c r="C1276" t="s">
        <v>3594</v>
      </c>
      <c r="D1276" t="s">
        <v>3293</v>
      </c>
      <c r="E1276" t="s">
        <v>3595</v>
      </c>
      <c r="F1276">
        <v>11.42</v>
      </c>
      <c r="G1276" t="s">
        <v>3295</v>
      </c>
      <c r="H1276" t="s">
        <v>14</v>
      </c>
      <c r="I1276" s="26">
        <v>43171</v>
      </c>
    </row>
    <row r="1277" spans="1:9" x14ac:dyDescent="0.2">
      <c r="A1277">
        <v>1264</v>
      </c>
      <c r="B1277" t="s">
        <v>3596</v>
      </c>
      <c r="C1277" t="s">
        <v>3597</v>
      </c>
      <c r="D1277" t="s">
        <v>3293</v>
      </c>
      <c r="E1277" t="s">
        <v>3598</v>
      </c>
      <c r="F1277">
        <v>11.97</v>
      </c>
      <c r="G1277" t="s">
        <v>3295</v>
      </c>
      <c r="H1277" t="s">
        <v>14</v>
      </c>
      <c r="I1277" s="26">
        <v>43171</v>
      </c>
    </row>
    <row r="1278" spans="1:9" x14ac:dyDescent="0.2">
      <c r="A1278">
        <v>1265</v>
      </c>
      <c r="B1278" t="s">
        <v>3599</v>
      </c>
      <c r="C1278" t="s">
        <v>3600</v>
      </c>
      <c r="D1278" t="s">
        <v>2095</v>
      </c>
      <c r="E1278" t="s">
        <v>3601</v>
      </c>
      <c r="F1278">
        <v>62.39</v>
      </c>
      <c r="G1278" t="s">
        <v>2097</v>
      </c>
      <c r="H1278" t="s">
        <v>14</v>
      </c>
      <c r="I1278" s="26">
        <v>42615</v>
      </c>
    </row>
    <row r="1279" spans="1:9" x14ac:dyDescent="0.2">
      <c r="A1279">
        <v>1266</v>
      </c>
      <c r="B1279" t="s">
        <v>3602</v>
      </c>
      <c r="C1279" t="s">
        <v>3603</v>
      </c>
      <c r="D1279" t="s">
        <v>3604</v>
      </c>
      <c r="E1279" t="s">
        <v>3605</v>
      </c>
      <c r="F1279">
        <v>86.98</v>
      </c>
      <c r="G1279" t="s">
        <v>3606</v>
      </c>
      <c r="H1279" t="s">
        <v>14</v>
      </c>
      <c r="I1279" s="26"/>
    </row>
    <row r="1280" spans="1:9" x14ac:dyDescent="0.2">
      <c r="A1280">
        <v>1267</v>
      </c>
      <c r="B1280" t="s">
        <v>3607</v>
      </c>
      <c r="C1280" t="s">
        <v>3608</v>
      </c>
      <c r="D1280" t="s">
        <v>3604</v>
      </c>
      <c r="E1280" t="s">
        <v>3609</v>
      </c>
      <c r="F1280">
        <v>88.4</v>
      </c>
      <c r="G1280" t="s">
        <v>3606</v>
      </c>
      <c r="H1280" t="s">
        <v>14</v>
      </c>
      <c r="I1280" s="26">
        <v>42381</v>
      </c>
    </row>
    <row r="1281" spans="1:9" x14ac:dyDescent="0.2">
      <c r="A1281">
        <v>1268</v>
      </c>
      <c r="B1281" t="s">
        <v>3610</v>
      </c>
      <c r="C1281" t="s">
        <v>3611</v>
      </c>
      <c r="D1281" t="s">
        <v>3612</v>
      </c>
      <c r="E1281" t="s">
        <v>3613</v>
      </c>
      <c r="F1281">
        <v>259.35000000000002</v>
      </c>
      <c r="G1281" t="s">
        <v>3614</v>
      </c>
      <c r="H1281" t="s">
        <v>14</v>
      </c>
      <c r="I1281" s="26">
        <v>43217</v>
      </c>
    </row>
    <row r="1282" spans="1:9" x14ac:dyDescent="0.2">
      <c r="A1282">
        <v>1269</v>
      </c>
      <c r="B1282" t="s">
        <v>3615</v>
      </c>
      <c r="C1282" t="s">
        <v>3616</v>
      </c>
      <c r="D1282" t="s">
        <v>2095</v>
      </c>
      <c r="E1282" t="s">
        <v>3617</v>
      </c>
      <c r="F1282">
        <v>41.01</v>
      </c>
      <c r="G1282" t="s">
        <v>2097</v>
      </c>
      <c r="H1282" t="s">
        <v>14</v>
      </c>
      <c r="I1282" s="26">
        <v>42290</v>
      </c>
    </row>
    <row r="1283" spans="1:9" x14ac:dyDescent="0.2">
      <c r="A1283">
        <v>1270</v>
      </c>
      <c r="B1283" t="s">
        <v>3618</v>
      </c>
      <c r="C1283" t="s">
        <v>3619</v>
      </c>
      <c r="D1283" t="s">
        <v>3620</v>
      </c>
      <c r="E1283" t="s">
        <v>3621</v>
      </c>
      <c r="F1283">
        <v>1.27</v>
      </c>
      <c r="G1283" t="s">
        <v>3622</v>
      </c>
      <c r="H1283" t="s">
        <v>14</v>
      </c>
      <c r="I1283" s="26">
        <v>43217</v>
      </c>
    </row>
    <row r="1284" spans="1:9" x14ac:dyDescent="0.2">
      <c r="A1284">
        <v>1271</v>
      </c>
      <c r="B1284" t="s">
        <v>3623</v>
      </c>
      <c r="C1284" t="s">
        <v>3624</v>
      </c>
      <c r="D1284" t="s">
        <v>2095</v>
      </c>
      <c r="E1284" t="s">
        <v>3625</v>
      </c>
      <c r="F1284">
        <v>91.13</v>
      </c>
      <c r="G1284" t="s">
        <v>2097</v>
      </c>
      <c r="H1284" t="s">
        <v>14</v>
      </c>
      <c r="I1284" s="26">
        <v>42289</v>
      </c>
    </row>
    <row r="1285" spans="1:9" x14ac:dyDescent="0.2">
      <c r="A1285">
        <v>1272</v>
      </c>
      <c r="B1285" t="s">
        <v>3626</v>
      </c>
      <c r="C1285" t="s">
        <v>3627</v>
      </c>
      <c r="D1285" t="s">
        <v>1233</v>
      </c>
      <c r="E1285" t="s">
        <v>3628</v>
      </c>
      <c r="F1285">
        <v>40.06</v>
      </c>
      <c r="G1285" t="s">
        <v>1235</v>
      </c>
      <c r="H1285" t="s">
        <v>3629</v>
      </c>
      <c r="I1285" s="26">
        <v>42289</v>
      </c>
    </row>
    <row r="1286" spans="1:9" x14ac:dyDescent="0.2">
      <c r="A1286">
        <v>1273</v>
      </c>
      <c r="B1286" t="s">
        <v>3630</v>
      </c>
      <c r="C1286" t="s">
        <v>3631</v>
      </c>
      <c r="D1286" t="s">
        <v>3515</v>
      </c>
      <c r="E1286" t="s">
        <v>3632</v>
      </c>
      <c r="F1286">
        <v>8.5299999999999994</v>
      </c>
      <c r="G1286" t="s">
        <v>3517</v>
      </c>
      <c r="H1286" t="s">
        <v>14</v>
      </c>
      <c r="I1286" s="26">
        <v>43171</v>
      </c>
    </row>
    <row r="1287" spans="1:9" x14ac:dyDescent="0.2">
      <c r="A1287">
        <v>1274</v>
      </c>
      <c r="B1287" t="s">
        <v>3633</v>
      </c>
      <c r="C1287" t="s">
        <v>3634</v>
      </c>
      <c r="D1287" t="s">
        <v>2304</v>
      </c>
      <c r="E1287" t="s">
        <v>3635</v>
      </c>
      <c r="F1287">
        <v>28.09</v>
      </c>
      <c r="G1287" t="s">
        <v>2306</v>
      </c>
      <c r="H1287" t="s">
        <v>14</v>
      </c>
      <c r="I1287" s="26"/>
    </row>
    <row r="1288" spans="1:9" x14ac:dyDescent="0.2">
      <c r="A1288">
        <v>1275</v>
      </c>
      <c r="B1288" t="s">
        <v>3636</v>
      </c>
      <c r="C1288" t="s">
        <v>3637</v>
      </c>
      <c r="D1288" t="s">
        <v>3638</v>
      </c>
      <c r="E1288" t="s">
        <v>3639</v>
      </c>
      <c r="F1288">
        <v>35.75</v>
      </c>
      <c r="G1288" t="s">
        <v>3640</v>
      </c>
      <c r="H1288" t="s">
        <v>14</v>
      </c>
      <c r="I1288" s="26"/>
    </row>
    <row r="1289" spans="1:9" x14ac:dyDescent="0.2">
      <c r="A1289">
        <v>1276</v>
      </c>
      <c r="B1289" t="s">
        <v>3641</v>
      </c>
      <c r="C1289" t="s">
        <v>3642</v>
      </c>
      <c r="D1289" t="s">
        <v>40</v>
      </c>
      <c r="E1289" t="s">
        <v>3643</v>
      </c>
      <c r="F1289">
        <v>19.61</v>
      </c>
      <c r="G1289" t="s">
        <v>42</v>
      </c>
      <c r="H1289" t="s">
        <v>14</v>
      </c>
      <c r="I1289" s="26"/>
    </row>
    <row r="1290" spans="1:9" x14ac:dyDescent="0.2">
      <c r="A1290">
        <v>1277</v>
      </c>
      <c r="B1290" t="s">
        <v>3644</v>
      </c>
      <c r="C1290" t="s">
        <v>3645</v>
      </c>
      <c r="D1290" t="s">
        <v>3646</v>
      </c>
      <c r="E1290" t="s">
        <v>3647</v>
      </c>
      <c r="F1290">
        <v>1.86</v>
      </c>
      <c r="G1290" t="s">
        <v>3648</v>
      </c>
      <c r="H1290" t="s">
        <v>14</v>
      </c>
      <c r="I1290" s="26">
        <v>42307</v>
      </c>
    </row>
    <row r="1291" spans="1:9" x14ac:dyDescent="0.2">
      <c r="A1291">
        <v>1278</v>
      </c>
      <c r="B1291" t="s">
        <v>3649</v>
      </c>
      <c r="C1291" t="s">
        <v>3650</v>
      </c>
      <c r="D1291" t="s">
        <v>26</v>
      </c>
      <c r="E1291" t="s">
        <v>3651</v>
      </c>
      <c r="F1291">
        <v>3.02</v>
      </c>
      <c r="G1291" t="s">
        <v>27</v>
      </c>
      <c r="H1291" t="s">
        <v>14</v>
      </c>
      <c r="I1291" s="26">
        <v>42817</v>
      </c>
    </row>
    <row r="1292" spans="1:9" x14ac:dyDescent="0.2">
      <c r="A1292">
        <v>1279</v>
      </c>
      <c r="B1292" t="s">
        <v>3652</v>
      </c>
      <c r="C1292" t="s">
        <v>3653</v>
      </c>
      <c r="D1292" t="s">
        <v>4558</v>
      </c>
      <c r="E1292" t="s">
        <v>3654</v>
      </c>
      <c r="F1292">
        <v>19.64</v>
      </c>
      <c r="G1292" t="s">
        <v>610</v>
      </c>
      <c r="H1292" t="s">
        <v>14</v>
      </c>
      <c r="I1292" s="26">
        <v>42859</v>
      </c>
    </row>
    <row r="1293" spans="1:9" x14ac:dyDescent="0.2">
      <c r="A1293">
        <v>1280</v>
      </c>
      <c r="B1293" t="s">
        <v>3655</v>
      </c>
      <c r="C1293" t="s">
        <v>3656</v>
      </c>
      <c r="D1293" t="s">
        <v>4558</v>
      </c>
      <c r="E1293" t="s">
        <v>3657</v>
      </c>
      <c r="F1293">
        <v>20.12</v>
      </c>
      <c r="G1293" t="s">
        <v>610</v>
      </c>
      <c r="H1293" t="s">
        <v>14</v>
      </c>
      <c r="I1293" s="26">
        <v>42859</v>
      </c>
    </row>
    <row r="1294" spans="1:9" x14ac:dyDescent="0.2">
      <c r="A1294">
        <v>1281</v>
      </c>
      <c r="B1294" t="s">
        <v>3658</v>
      </c>
      <c r="C1294" t="s">
        <v>3659</v>
      </c>
      <c r="D1294" t="s">
        <v>4558</v>
      </c>
      <c r="E1294" t="s">
        <v>3660</v>
      </c>
      <c r="F1294">
        <v>17.23</v>
      </c>
      <c r="G1294" t="s">
        <v>610</v>
      </c>
      <c r="H1294" t="s">
        <v>14</v>
      </c>
      <c r="I1294" s="26">
        <v>42859</v>
      </c>
    </row>
    <row r="1295" spans="1:9" x14ac:dyDescent="0.2">
      <c r="A1295">
        <v>1282</v>
      </c>
      <c r="B1295" t="s">
        <v>3661</v>
      </c>
      <c r="C1295" t="s">
        <v>3662</v>
      </c>
      <c r="D1295" t="s">
        <v>4558</v>
      </c>
      <c r="E1295" t="s">
        <v>3663</v>
      </c>
      <c r="F1295">
        <v>15.18</v>
      </c>
      <c r="G1295" t="s">
        <v>610</v>
      </c>
      <c r="H1295" t="s">
        <v>14</v>
      </c>
      <c r="I1295" s="26">
        <v>42859</v>
      </c>
    </row>
    <row r="1296" spans="1:9" x14ac:dyDescent="0.2">
      <c r="A1296">
        <v>1283</v>
      </c>
      <c r="B1296" t="s">
        <v>3664</v>
      </c>
      <c r="C1296" t="s">
        <v>3665</v>
      </c>
      <c r="D1296" t="s">
        <v>854</v>
      </c>
      <c r="E1296" t="s">
        <v>3666</v>
      </c>
      <c r="F1296">
        <v>18.91</v>
      </c>
      <c r="G1296" t="s">
        <v>856</v>
      </c>
      <c r="H1296" t="s">
        <v>14</v>
      </c>
      <c r="I1296" s="26"/>
    </row>
    <row r="1297" spans="1:9" x14ac:dyDescent="0.2">
      <c r="A1297">
        <v>1284</v>
      </c>
      <c r="B1297" t="s">
        <v>3667</v>
      </c>
      <c r="C1297" t="s">
        <v>3668</v>
      </c>
      <c r="D1297" t="s">
        <v>4558</v>
      </c>
      <c r="E1297" t="s">
        <v>3669</v>
      </c>
      <c r="F1297">
        <v>14</v>
      </c>
      <c r="G1297" t="s">
        <v>610</v>
      </c>
      <c r="H1297" t="s">
        <v>14</v>
      </c>
      <c r="I1297" s="26">
        <v>42859</v>
      </c>
    </row>
    <row r="1298" spans="1:9" x14ac:dyDescent="0.2">
      <c r="A1298">
        <v>1285</v>
      </c>
      <c r="B1298" t="s">
        <v>3670</v>
      </c>
      <c r="C1298" t="s">
        <v>3671</v>
      </c>
      <c r="D1298" t="s">
        <v>4558</v>
      </c>
      <c r="E1298" t="s">
        <v>3672</v>
      </c>
      <c r="F1298">
        <v>21.86</v>
      </c>
      <c r="G1298" t="s">
        <v>610</v>
      </c>
      <c r="H1298" t="s">
        <v>14</v>
      </c>
      <c r="I1298" s="26">
        <v>42859</v>
      </c>
    </row>
    <row r="1299" spans="1:9" x14ac:dyDescent="0.2">
      <c r="A1299">
        <v>1286</v>
      </c>
      <c r="B1299" t="s">
        <v>3673</v>
      </c>
      <c r="C1299" t="s">
        <v>3674</v>
      </c>
      <c r="D1299" t="s">
        <v>4558</v>
      </c>
      <c r="E1299" t="s">
        <v>3675</v>
      </c>
      <c r="F1299">
        <v>24.22</v>
      </c>
      <c r="G1299" t="s">
        <v>610</v>
      </c>
      <c r="H1299" t="s">
        <v>14</v>
      </c>
      <c r="I1299" s="26">
        <v>42859</v>
      </c>
    </row>
    <row r="1300" spans="1:9" x14ac:dyDescent="0.2">
      <c r="A1300">
        <v>1287</v>
      </c>
      <c r="B1300" t="s">
        <v>3676</v>
      </c>
      <c r="C1300" t="s">
        <v>3677</v>
      </c>
      <c r="D1300" t="s">
        <v>4558</v>
      </c>
      <c r="E1300" t="s">
        <v>3678</v>
      </c>
      <c r="F1300">
        <v>25.66</v>
      </c>
      <c r="G1300" t="s">
        <v>610</v>
      </c>
      <c r="H1300" t="s">
        <v>14</v>
      </c>
      <c r="I1300" s="26">
        <v>42859</v>
      </c>
    </row>
    <row r="1301" spans="1:9" x14ac:dyDescent="0.2">
      <c r="A1301">
        <v>1288</v>
      </c>
      <c r="B1301" t="s">
        <v>3679</v>
      </c>
      <c r="C1301" t="s">
        <v>3680</v>
      </c>
      <c r="D1301" t="s">
        <v>4558</v>
      </c>
      <c r="E1301" t="s">
        <v>3681</v>
      </c>
      <c r="F1301">
        <v>22.38</v>
      </c>
      <c r="G1301" t="s">
        <v>610</v>
      </c>
      <c r="H1301" t="s">
        <v>14</v>
      </c>
      <c r="I1301" s="26">
        <v>42859</v>
      </c>
    </row>
    <row r="1302" spans="1:9" x14ac:dyDescent="0.2">
      <c r="A1302">
        <v>1289</v>
      </c>
      <c r="B1302" t="s">
        <v>3682</v>
      </c>
      <c r="C1302" t="s">
        <v>3683</v>
      </c>
      <c r="D1302" t="s">
        <v>4558</v>
      </c>
      <c r="E1302" t="s">
        <v>3684</v>
      </c>
      <c r="F1302">
        <v>22.38</v>
      </c>
      <c r="G1302" t="s">
        <v>610</v>
      </c>
      <c r="H1302" t="s">
        <v>14</v>
      </c>
      <c r="I1302" s="26">
        <v>42859</v>
      </c>
    </row>
    <row r="1303" spans="1:9" x14ac:dyDescent="0.2">
      <c r="A1303">
        <v>1290</v>
      </c>
      <c r="B1303" t="s">
        <v>3685</v>
      </c>
      <c r="C1303" t="s">
        <v>3686</v>
      </c>
      <c r="D1303" t="s">
        <v>4558</v>
      </c>
      <c r="E1303" t="s">
        <v>3687</v>
      </c>
      <c r="F1303">
        <v>29.1</v>
      </c>
      <c r="G1303" t="s">
        <v>610</v>
      </c>
      <c r="H1303" t="s">
        <v>14</v>
      </c>
      <c r="I1303" s="26">
        <v>42859</v>
      </c>
    </row>
    <row r="1304" spans="1:9" x14ac:dyDescent="0.2">
      <c r="A1304">
        <v>1291</v>
      </c>
      <c r="B1304" t="s">
        <v>3688</v>
      </c>
      <c r="C1304" t="s">
        <v>3689</v>
      </c>
      <c r="D1304" t="s">
        <v>4558</v>
      </c>
      <c r="E1304" t="s">
        <v>3690</v>
      </c>
      <c r="F1304">
        <v>25.82</v>
      </c>
      <c r="G1304" t="s">
        <v>610</v>
      </c>
      <c r="H1304" t="s">
        <v>14</v>
      </c>
      <c r="I1304" s="26"/>
    </row>
    <row r="1305" spans="1:9" x14ac:dyDescent="0.2">
      <c r="A1305">
        <v>1292</v>
      </c>
      <c r="B1305" t="s">
        <v>3691</v>
      </c>
      <c r="C1305" t="s">
        <v>3692</v>
      </c>
      <c r="D1305" t="s">
        <v>3693</v>
      </c>
      <c r="E1305" t="s">
        <v>3694</v>
      </c>
      <c r="F1305">
        <v>11.476699999999999</v>
      </c>
      <c r="G1305" t="s">
        <v>3695</v>
      </c>
      <c r="H1305" t="s">
        <v>14</v>
      </c>
      <c r="I1305" s="26">
        <v>42859</v>
      </c>
    </row>
    <row r="1306" spans="1:9" x14ac:dyDescent="0.2">
      <c r="A1306">
        <v>1293</v>
      </c>
      <c r="B1306" t="s">
        <v>3696</v>
      </c>
      <c r="C1306" t="s">
        <v>3697</v>
      </c>
      <c r="D1306" t="s">
        <v>3693</v>
      </c>
      <c r="E1306" t="s">
        <v>3698</v>
      </c>
      <c r="F1306">
        <v>3.15</v>
      </c>
      <c r="G1306" t="s">
        <v>3695</v>
      </c>
      <c r="H1306" t="s">
        <v>14</v>
      </c>
      <c r="I1306" s="26">
        <v>42859</v>
      </c>
    </row>
    <row r="1307" spans="1:9" x14ac:dyDescent="0.2">
      <c r="A1307">
        <v>1294</v>
      </c>
      <c r="B1307" t="s">
        <v>3699</v>
      </c>
      <c r="C1307" t="s">
        <v>3700</v>
      </c>
      <c r="D1307" t="s">
        <v>3693</v>
      </c>
      <c r="E1307" t="s">
        <v>3701</v>
      </c>
      <c r="F1307">
        <v>197.63</v>
      </c>
      <c r="G1307" t="s">
        <v>3695</v>
      </c>
      <c r="H1307" t="s">
        <v>14</v>
      </c>
      <c r="I1307" s="26">
        <v>42859</v>
      </c>
    </row>
    <row r="1308" spans="1:9" x14ac:dyDescent="0.2">
      <c r="A1308">
        <v>1295</v>
      </c>
      <c r="B1308" t="s">
        <v>3702</v>
      </c>
      <c r="C1308" t="s">
        <v>3703</v>
      </c>
      <c r="D1308" t="s">
        <v>3693</v>
      </c>
      <c r="E1308" t="s">
        <v>3704</v>
      </c>
      <c r="F1308">
        <v>8.6509999999999998</v>
      </c>
      <c r="G1308" t="s">
        <v>3695</v>
      </c>
      <c r="H1308" t="s">
        <v>14</v>
      </c>
      <c r="I1308" s="26">
        <v>42859</v>
      </c>
    </row>
    <row r="1309" spans="1:9" x14ac:dyDescent="0.2">
      <c r="A1309">
        <v>1296</v>
      </c>
      <c r="B1309" t="s">
        <v>3705</v>
      </c>
      <c r="C1309" t="s">
        <v>3706</v>
      </c>
      <c r="D1309" t="s">
        <v>3693</v>
      </c>
      <c r="E1309" t="s">
        <v>3705</v>
      </c>
      <c r="F1309">
        <v>8.1433</v>
      </c>
      <c r="G1309" t="s">
        <v>3695</v>
      </c>
      <c r="H1309" t="s">
        <v>14</v>
      </c>
      <c r="I1309" s="26">
        <v>42859</v>
      </c>
    </row>
    <row r="1310" spans="1:9" x14ac:dyDescent="0.2">
      <c r="A1310">
        <v>1297</v>
      </c>
      <c r="B1310" t="s">
        <v>3707</v>
      </c>
      <c r="C1310" t="s">
        <v>3708</v>
      </c>
      <c r="D1310" t="s">
        <v>4558</v>
      </c>
      <c r="E1310" t="s">
        <v>3709</v>
      </c>
      <c r="F1310">
        <v>10.88</v>
      </c>
      <c r="G1310" t="s">
        <v>610</v>
      </c>
      <c r="H1310" t="s">
        <v>14</v>
      </c>
      <c r="I1310" s="26">
        <v>42859</v>
      </c>
    </row>
    <row r="1311" spans="1:9" x14ac:dyDescent="0.2">
      <c r="A1311">
        <v>1298</v>
      </c>
      <c r="B1311" t="s">
        <v>3710</v>
      </c>
      <c r="C1311" t="s">
        <v>3711</v>
      </c>
      <c r="D1311" t="s">
        <v>3712</v>
      </c>
      <c r="E1311" t="s">
        <v>3713</v>
      </c>
      <c r="F1311">
        <v>8.9719999999999995</v>
      </c>
      <c r="G1311" t="s">
        <v>3714</v>
      </c>
      <c r="H1311" t="s">
        <v>14</v>
      </c>
      <c r="I1311" s="26">
        <v>42859</v>
      </c>
    </row>
    <row r="1312" spans="1:9" x14ac:dyDescent="0.2">
      <c r="A1312">
        <v>1299</v>
      </c>
      <c r="B1312" t="s">
        <v>3715</v>
      </c>
      <c r="C1312" t="s">
        <v>3716</v>
      </c>
      <c r="D1312" t="s">
        <v>3717</v>
      </c>
      <c r="E1312" t="s">
        <v>3718</v>
      </c>
      <c r="F1312">
        <v>12.5</v>
      </c>
      <c r="G1312" t="s">
        <v>3719</v>
      </c>
      <c r="H1312" t="s">
        <v>14</v>
      </c>
      <c r="I1312" s="26">
        <v>42859</v>
      </c>
    </row>
    <row r="1313" spans="1:9" x14ac:dyDescent="0.2">
      <c r="A1313">
        <v>1300</v>
      </c>
      <c r="B1313" t="s">
        <v>3720</v>
      </c>
      <c r="C1313" t="s">
        <v>3721</v>
      </c>
      <c r="D1313" t="s">
        <v>3717</v>
      </c>
      <c r="E1313" t="s">
        <v>3722</v>
      </c>
      <c r="F1313">
        <v>12.5</v>
      </c>
      <c r="G1313" t="s">
        <v>3719</v>
      </c>
      <c r="H1313" t="s">
        <v>14</v>
      </c>
      <c r="I1313" s="26">
        <v>42859</v>
      </c>
    </row>
    <row r="1314" spans="1:9" x14ac:dyDescent="0.2">
      <c r="A1314">
        <v>1301</v>
      </c>
      <c r="B1314" t="s">
        <v>3723</v>
      </c>
      <c r="C1314" t="s">
        <v>3724</v>
      </c>
      <c r="D1314" t="s">
        <v>3717</v>
      </c>
      <c r="E1314" t="s">
        <v>3725</v>
      </c>
      <c r="F1314">
        <v>12.5</v>
      </c>
      <c r="G1314" t="s">
        <v>3719</v>
      </c>
      <c r="H1314" t="s">
        <v>14</v>
      </c>
      <c r="I1314" s="26">
        <v>42859</v>
      </c>
    </row>
    <row r="1315" spans="1:9" x14ac:dyDescent="0.2">
      <c r="A1315">
        <v>1302</v>
      </c>
      <c r="B1315" t="s">
        <v>3726</v>
      </c>
      <c r="C1315" t="s">
        <v>3727</v>
      </c>
      <c r="D1315" t="s">
        <v>40</v>
      </c>
      <c r="E1315" t="s">
        <v>3728</v>
      </c>
      <c r="F1315">
        <v>5.3730000000000002</v>
      </c>
      <c r="G1315" t="s">
        <v>42</v>
      </c>
      <c r="H1315" t="s">
        <v>14</v>
      </c>
      <c r="I1315" s="26">
        <v>42859</v>
      </c>
    </row>
    <row r="1316" spans="1:9" x14ac:dyDescent="0.2">
      <c r="A1316">
        <v>1303</v>
      </c>
      <c r="B1316" t="s">
        <v>3729</v>
      </c>
      <c r="C1316" t="s">
        <v>3730</v>
      </c>
      <c r="D1316" t="s">
        <v>4558</v>
      </c>
      <c r="E1316" t="s">
        <v>3731</v>
      </c>
      <c r="F1316">
        <v>20.78</v>
      </c>
      <c r="G1316" t="s">
        <v>610</v>
      </c>
      <c r="H1316" t="s">
        <v>14</v>
      </c>
      <c r="I1316" s="26">
        <v>42859</v>
      </c>
    </row>
    <row r="1317" spans="1:9" x14ac:dyDescent="0.2">
      <c r="A1317">
        <v>1304</v>
      </c>
      <c r="B1317" t="s">
        <v>3732</v>
      </c>
      <c r="C1317" t="s">
        <v>3733</v>
      </c>
      <c r="D1317" t="s">
        <v>4558</v>
      </c>
      <c r="E1317" t="s">
        <v>3734</v>
      </c>
      <c r="F1317">
        <v>20.78</v>
      </c>
      <c r="G1317" t="s">
        <v>610</v>
      </c>
      <c r="H1317" t="s">
        <v>14</v>
      </c>
      <c r="I1317" s="26">
        <v>42859</v>
      </c>
    </row>
    <row r="1318" spans="1:9" x14ac:dyDescent="0.2">
      <c r="A1318">
        <v>1305</v>
      </c>
      <c r="B1318" t="s">
        <v>3735</v>
      </c>
      <c r="C1318" t="s">
        <v>3736</v>
      </c>
      <c r="D1318" t="s">
        <v>4558</v>
      </c>
      <c r="E1318" t="s">
        <v>3669</v>
      </c>
      <c r="F1318">
        <v>19.8</v>
      </c>
      <c r="G1318" t="s">
        <v>610</v>
      </c>
      <c r="H1318" t="s">
        <v>14</v>
      </c>
      <c r="I1318" s="26">
        <v>42859</v>
      </c>
    </row>
    <row r="1319" spans="1:9" x14ac:dyDescent="0.2">
      <c r="A1319">
        <v>1306</v>
      </c>
      <c r="B1319" t="s">
        <v>3737</v>
      </c>
      <c r="C1319" t="s">
        <v>3738</v>
      </c>
      <c r="D1319" t="s">
        <v>4558</v>
      </c>
      <c r="E1319" t="s">
        <v>3739</v>
      </c>
      <c r="F1319">
        <v>16.38</v>
      </c>
      <c r="G1319" t="s">
        <v>610</v>
      </c>
      <c r="H1319" t="s">
        <v>14</v>
      </c>
      <c r="I1319" s="26">
        <v>42859</v>
      </c>
    </row>
    <row r="1320" spans="1:9" x14ac:dyDescent="0.2">
      <c r="A1320">
        <v>1307</v>
      </c>
      <c r="B1320" t="s">
        <v>3740</v>
      </c>
      <c r="C1320" t="s">
        <v>3741</v>
      </c>
      <c r="D1320" t="s">
        <v>4558</v>
      </c>
      <c r="E1320" t="s">
        <v>3742</v>
      </c>
      <c r="F1320">
        <v>49.08</v>
      </c>
      <c r="G1320" t="s">
        <v>610</v>
      </c>
      <c r="H1320" t="s">
        <v>14</v>
      </c>
      <c r="I1320" s="26">
        <v>42859</v>
      </c>
    </row>
    <row r="1321" spans="1:9" x14ac:dyDescent="0.2">
      <c r="A1321">
        <v>1308</v>
      </c>
      <c r="B1321" t="s">
        <v>3743</v>
      </c>
      <c r="C1321" t="s">
        <v>3744</v>
      </c>
      <c r="D1321" t="s">
        <v>4558</v>
      </c>
      <c r="E1321" t="s">
        <v>3745</v>
      </c>
      <c r="F1321">
        <v>41.98</v>
      </c>
      <c r="G1321" t="s">
        <v>610</v>
      </c>
      <c r="H1321" t="s">
        <v>14</v>
      </c>
      <c r="I1321" s="26"/>
    </row>
    <row r="1322" spans="1:9" x14ac:dyDescent="0.2">
      <c r="A1322">
        <v>1309</v>
      </c>
      <c r="B1322" t="s">
        <v>3746</v>
      </c>
      <c r="C1322" t="s">
        <v>3747</v>
      </c>
      <c r="D1322" t="s">
        <v>40</v>
      </c>
      <c r="E1322" t="s">
        <v>3748</v>
      </c>
      <c r="F1322">
        <v>209.91</v>
      </c>
      <c r="G1322" t="s">
        <v>42</v>
      </c>
      <c r="H1322" t="s">
        <v>14</v>
      </c>
      <c r="I1322" s="26"/>
    </row>
    <row r="1323" spans="1:9" x14ac:dyDescent="0.2">
      <c r="A1323">
        <v>1310</v>
      </c>
      <c r="B1323" t="s">
        <v>3749</v>
      </c>
      <c r="C1323" t="s">
        <v>3750</v>
      </c>
      <c r="D1323" t="s">
        <v>40</v>
      </c>
      <c r="E1323" t="s">
        <v>3751</v>
      </c>
      <c r="F1323">
        <v>233.27</v>
      </c>
      <c r="G1323" t="s">
        <v>42</v>
      </c>
      <c r="H1323" t="s">
        <v>14</v>
      </c>
      <c r="I1323" s="26">
        <v>42290</v>
      </c>
    </row>
    <row r="1324" spans="1:9" x14ac:dyDescent="0.2">
      <c r="A1324">
        <v>1311</v>
      </c>
      <c r="B1324" t="s">
        <v>3752</v>
      </c>
      <c r="C1324" t="s">
        <v>3753</v>
      </c>
      <c r="D1324" t="s">
        <v>40</v>
      </c>
      <c r="E1324" t="s">
        <v>3754</v>
      </c>
      <c r="F1324">
        <v>32.35</v>
      </c>
      <c r="G1324" t="s">
        <v>42</v>
      </c>
      <c r="H1324" t="s">
        <v>14</v>
      </c>
      <c r="I1324" s="26"/>
    </row>
    <row r="1325" spans="1:9" x14ac:dyDescent="0.2">
      <c r="A1325">
        <v>1312</v>
      </c>
      <c r="B1325" t="s">
        <v>4507</v>
      </c>
      <c r="C1325" t="s">
        <v>3771</v>
      </c>
      <c r="D1325" t="s">
        <v>40</v>
      </c>
      <c r="E1325" t="s">
        <v>4517</v>
      </c>
      <c r="F1325">
        <v>3.37</v>
      </c>
      <c r="G1325" t="s">
        <v>42</v>
      </c>
      <c r="H1325" t="s">
        <v>14</v>
      </c>
      <c r="I1325" s="26"/>
    </row>
    <row r="1326" spans="1:9" x14ac:dyDescent="0.2">
      <c r="A1326">
        <v>1313</v>
      </c>
      <c r="B1326" t="s">
        <v>3755</v>
      </c>
      <c r="C1326" t="s">
        <v>3756</v>
      </c>
      <c r="D1326" t="s">
        <v>40</v>
      </c>
      <c r="E1326" t="s">
        <v>3757</v>
      </c>
      <c r="F1326">
        <v>2.2999999999999998</v>
      </c>
      <c r="G1326" t="s">
        <v>42</v>
      </c>
      <c r="H1326" t="s">
        <v>14</v>
      </c>
      <c r="I1326" s="26">
        <v>43077</v>
      </c>
    </row>
    <row r="1327" spans="1:9" x14ac:dyDescent="0.2">
      <c r="A1327">
        <v>1314</v>
      </c>
      <c r="B1327" t="s">
        <v>3758</v>
      </c>
      <c r="C1327" t="s">
        <v>3759</v>
      </c>
      <c r="D1327" t="s">
        <v>40</v>
      </c>
      <c r="E1327" t="s">
        <v>3760</v>
      </c>
      <c r="F1327">
        <v>47.97</v>
      </c>
      <c r="G1327" t="s">
        <v>42</v>
      </c>
      <c r="H1327" t="s">
        <v>14</v>
      </c>
      <c r="I1327" s="26">
        <v>42558</v>
      </c>
    </row>
    <row r="1328" spans="1:9" x14ac:dyDescent="0.2">
      <c r="A1328">
        <v>1315</v>
      </c>
      <c r="B1328" t="s">
        <v>4544</v>
      </c>
      <c r="C1328" t="s">
        <v>4545</v>
      </c>
      <c r="D1328" t="s">
        <v>26</v>
      </c>
      <c r="E1328" t="s">
        <v>289</v>
      </c>
      <c r="F1328">
        <v>24.74</v>
      </c>
      <c r="G1328" t="s">
        <v>27</v>
      </c>
      <c r="H1328" t="s">
        <v>14</v>
      </c>
      <c r="I1328" s="26">
        <v>43244</v>
      </c>
    </row>
    <row r="1329" spans="1:9" x14ac:dyDescent="0.2">
      <c r="A1329">
        <v>1316</v>
      </c>
      <c r="B1329" t="s">
        <v>3761</v>
      </c>
      <c r="C1329" t="s">
        <v>3762</v>
      </c>
      <c r="D1329" t="s">
        <v>40</v>
      </c>
      <c r="E1329" t="s">
        <v>3763</v>
      </c>
      <c r="F1329">
        <v>32.26</v>
      </c>
      <c r="G1329" t="s">
        <v>42</v>
      </c>
      <c r="H1329" t="s">
        <v>14</v>
      </c>
      <c r="I1329" s="26">
        <v>42290</v>
      </c>
    </row>
    <row r="1330" spans="1:9" x14ac:dyDescent="0.2">
      <c r="A1330">
        <v>1317</v>
      </c>
      <c r="B1330" t="s">
        <v>3764</v>
      </c>
      <c r="C1330" t="s">
        <v>3765</v>
      </c>
      <c r="D1330" t="s">
        <v>40</v>
      </c>
      <c r="E1330" t="s">
        <v>3766</v>
      </c>
      <c r="F1330">
        <v>17.66</v>
      </c>
      <c r="G1330" t="s">
        <v>42</v>
      </c>
      <c r="H1330" t="s">
        <v>14</v>
      </c>
      <c r="I1330" s="26">
        <v>42290</v>
      </c>
    </row>
    <row r="1331" spans="1:9" x14ac:dyDescent="0.2">
      <c r="A1331">
        <v>1318</v>
      </c>
      <c r="B1331" t="s">
        <v>3767</v>
      </c>
      <c r="C1331" t="s">
        <v>3768</v>
      </c>
      <c r="D1331" t="s">
        <v>415</v>
      </c>
      <c r="E1331" t="s">
        <v>3769</v>
      </c>
      <c r="F1331">
        <v>156.86000000000001</v>
      </c>
      <c r="G1331" t="s">
        <v>417</v>
      </c>
      <c r="H1331" t="s">
        <v>14</v>
      </c>
      <c r="I1331" s="26"/>
    </row>
    <row r="1332" spans="1:9" x14ac:dyDescent="0.2">
      <c r="A1332">
        <v>1319</v>
      </c>
      <c r="B1332" t="s">
        <v>3770</v>
      </c>
      <c r="C1332" t="s">
        <v>3771</v>
      </c>
      <c r="D1332" t="s">
        <v>40</v>
      </c>
      <c r="E1332" t="s">
        <v>3772</v>
      </c>
      <c r="F1332">
        <v>2.5</v>
      </c>
      <c r="G1332" t="s">
        <v>42</v>
      </c>
      <c r="H1332" t="s">
        <v>14</v>
      </c>
      <c r="I1332" s="26">
        <v>43172</v>
      </c>
    </row>
    <row r="1333" spans="1:9" x14ac:dyDescent="0.2">
      <c r="A1333">
        <v>1320</v>
      </c>
      <c r="B1333" t="s">
        <v>3773</v>
      </c>
      <c r="C1333" t="s">
        <v>3774</v>
      </c>
      <c r="D1333" t="s">
        <v>40</v>
      </c>
      <c r="E1333" t="s">
        <v>3775</v>
      </c>
      <c r="F1333">
        <v>70.33</v>
      </c>
      <c r="G1333" t="s">
        <v>42</v>
      </c>
      <c r="H1333" t="s">
        <v>14</v>
      </c>
      <c r="I1333" s="26"/>
    </row>
    <row r="1334" spans="1:9" x14ac:dyDescent="0.2">
      <c r="A1334">
        <v>1321</v>
      </c>
      <c r="B1334" t="s">
        <v>3776</v>
      </c>
      <c r="C1334" t="s">
        <v>3771</v>
      </c>
      <c r="D1334" t="s">
        <v>40</v>
      </c>
      <c r="E1334" t="s">
        <v>3777</v>
      </c>
      <c r="F1334">
        <v>2.5</v>
      </c>
      <c r="G1334" t="s">
        <v>42</v>
      </c>
      <c r="H1334" t="s">
        <v>14</v>
      </c>
      <c r="I1334" s="26"/>
    </row>
    <row r="1335" spans="1:9" x14ac:dyDescent="0.2">
      <c r="A1335">
        <v>1322</v>
      </c>
      <c r="B1335" t="s">
        <v>3778</v>
      </c>
      <c r="C1335" t="s">
        <v>3779</v>
      </c>
      <c r="D1335" t="s">
        <v>40</v>
      </c>
      <c r="E1335" t="s">
        <v>3780</v>
      </c>
      <c r="F1335">
        <v>92.31</v>
      </c>
      <c r="G1335" t="s">
        <v>42</v>
      </c>
      <c r="H1335" t="s">
        <v>14</v>
      </c>
      <c r="I1335" s="26">
        <v>42293</v>
      </c>
    </row>
    <row r="1336" spans="1:9" x14ac:dyDescent="0.2">
      <c r="A1336">
        <v>1323</v>
      </c>
      <c r="B1336" t="s">
        <v>3781</v>
      </c>
      <c r="C1336" t="s">
        <v>3782</v>
      </c>
      <c r="D1336" t="s">
        <v>40</v>
      </c>
      <c r="E1336" t="s">
        <v>3783</v>
      </c>
      <c r="F1336">
        <v>3.78</v>
      </c>
      <c r="G1336" t="s">
        <v>42</v>
      </c>
      <c r="H1336" t="s">
        <v>14</v>
      </c>
      <c r="I1336" s="26"/>
    </row>
    <row r="1337" spans="1:9" x14ac:dyDescent="0.2">
      <c r="A1337">
        <v>1324</v>
      </c>
      <c r="B1337" t="s">
        <v>3784</v>
      </c>
      <c r="C1337" t="s">
        <v>3785</v>
      </c>
      <c r="D1337" t="s">
        <v>40</v>
      </c>
      <c r="E1337" t="s">
        <v>3786</v>
      </c>
      <c r="F1337">
        <v>11.52</v>
      </c>
      <c r="G1337" t="s">
        <v>42</v>
      </c>
      <c r="H1337" t="s">
        <v>14</v>
      </c>
      <c r="I1337" s="26">
        <v>42339</v>
      </c>
    </row>
    <row r="1338" spans="1:9" x14ac:dyDescent="0.2">
      <c r="A1338">
        <v>1325</v>
      </c>
      <c r="B1338" t="s">
        <v>3787</v>
      </c>
      <c r="C1338" t="s">
        <v>3788</v>
      </c>
      <c r="D1338" t="s">
        <v>40</v>
      </c>
      <c r="E1338" t="s">
        <v>3789</v>
      </c>
      <c r="F1338">
        <v>45.68</v>
      </c>
      <c r="G1338" t="s">
        <v>42</v>
      </c>
      <c r="H1338" t="s">
        <v>14</v>
      </c>
      <c r="I1338" s="26">
        <v>42289</v>
      </c>
    </row>
    <row r="1339" spans="1:9" x14ac:dyDescent="0.2">
      <c r="A1339">
        <v>1326</v>
      </c>
      <c r="B1339" t="s">
        <v>3790</v>
      </c>
      <c r="C1339" t="s">
        <v>3791</v>
      </c>
      <c r="D1339" t="s">
        <v>2095</v>
      </c>
      <c r="E1339" t="s">
        <v>3792</v>
      </c>
      <c r="F1339">
        <v>117.56</v>
      </c>
      <c r="G1339" t="s">
        <v>2097</v>
      </c>
      <c r="H1339" t="s">
        <v>14</v>
      </c>
      <c r="I1339" s="26">
        <v>42290</v>
      </c>
    </row>
    <row r="1340" spans="1:9" x14ac:dyDescent="0.2">
      <c r="A1340">
        <v>1327</v>
      </c>
      <c r="B1340" t="s">
        <v>3793</v>
      </c>
      <c r="C1340" t="s">
        <v>3794</v>
      </c>
      <c r="D1340" t="s">
        <v>1206</v>
      </c>
      <c r="E1340" t="s">
        <v>3793</v>
      </c>
      <c r="F1340">
        <v>0.52</v>
      </c>
      <c r="G1340" t="s">
        <v>1208</v>
      </c>
      <c r="H1340" t="s">
        <v>14</v>
      </c>
      <c r="I1340" s="26">
        <v>43217</v>
      </c>
    </row>
    <row r="1341" spans="1:9" x14ac:dyDescent="0.2">
      <c r="A1341">
        <v>1328</v>
      </c>
      <c r="B1341" t="s">
        <v>3795</v>
      </c>
      <c r="C1341" t="s">
        <v>3796</v>
      </c>
      <c r="D1341" t="s">
        <v>1779</v>
      </c>
      <c r="E1341" t="s">
        <v>3797</v>
      </c>
      <c r="F1341">
        <v>67.03</v>
      </c>
      <c r="G1341" t="s">
        <v>1781</v>
      </c>
      <c r="H1341" t="s">
        <v>14</v>
      </c>
      <c r="I1341" s="26"/>
    </row>
    <row r="1342" spans="1:9" x14ac:dyDescent="0.2">
      <c r="A1342">
        <v>1329</v>
      </c>
      <c r="B1342" t="s">
        <v>3798</v>
      </c>
      <c r="C1342" t="s">
        <v>3799</v>
      </c>
      <c r="D1342" t="s">
        <v>1779</v>
      </c>
      <c r="E1342" t="s">
        <v>3800</v>
      </c>
      <c r="F1342">
        <v>27.933</v>
      </c>
      <c r="G1342" t="s">
        <v>1781</v>
      </c>
      <c r="H1342" t="s">
        <v>14</v>
      </c>
      <c r="I1342" s="26"/>
    </row>
    <row r="1343" spans="1:9" x14ac:dyDescent="0.2">
      <c r="A1343">
        <v>1330</v>
      </c>
      <c r="B1343" t="s">
        <v>3801</v>
      </c>
      <c r="C1343" t="s">
        <v>3802</v>
      </c>
      <c r="D1343" t="s">
        <v>1779</v>
      </c>
      <c r="E1343" t="s">
        <v>3803</v>
      </c>
      <c r="F1343">
        <v>71.53</v>
      </c>
      <c r="G1343" t="s">
        <v>1781</v>
      </c>
      <c r="H1343" t="s">
        <v>14</v>
      </c>
      <c r="I1343" s="26"/>
    </row>
    <row r="1344" spans="1:9" x14ac:dyDescent="0.2">
      <c r="A1344">
        <v>1331</v>
      </c>
      <c r="B1344" t="s">
        <v>3804</v>
      </c>
      <c r="C1344" t="s">
        <v>3805</v>
      </c>
      <c r="D1344" t="s">
        <v>3806</v>
      </c>
      <c r="E1344" t="s">
        <v>3807</v>
      </c>
      <c r="F1344">
        <v>288.52999999999997</v>
      </c>
      <c r="G1344" t="s">
        <v>3808</v>
      </c>
      <c r="H1344" t="s">
        <v>14</v>
      </c>
      <c r="I1344" s="26"/>
    </row>
    <row r="1345" spans="1:9" x14ac:dyDescent="0.2">
      <c r="A1345">
        <v>1332</v>
      </c>
      <c r="B1345" t="s">
        <v>3809</v>
      </c>
      <c r="C1345" t="s">
        <v>3810</v>
      </c>
      <c r="D1345" t="s">
        <v>4565</v>
      </c>
      <c r="E1345" t="s">
        <v>3811</v>
      </c>
      <c r="F1345">
        <v>175.5</v>
      </c>
      <c r="G1345" t="s">
        <v>3473</v>
      </c>
      <c r="H1345" t="s">
        <v>14</v>
      </c>
      <c r="I1345" s="26"/>
    </row>
    <row r="1346" spans="1:9" x14ac:dyDescent="0.2">
      <c r="A1346">
        <v>1333</v>
      </c>
      <c r="B1346" t="s">
        <v>3812</v>
      </c>
      <c r="C1346" t="s">
        <v>3813</v>
      </c>
      <c r="D1346" t="s">
        <v>4565</v>
      </c>
      <c r="E1346" t="s">
        <v>3814</v>
      </c>
      <c r="F1346">
        <v>103.45</v>
      </c>
      <c r="G1346" t="s">
        <v>3473</v>
      </c>
      <c r="H1346" t="s">
        <v>14</v>
      </c>
      <c r="I1346" s="26"/>
    </row>
    <row r="1347" spans="1:9" x14ac:dyDescent="0.2">
      <c r="A1347">
        <v>1334</v>
      </c>
      <c r="B1347" t="s">
        <v>3815</v>
      </c>
      <c r="C1347" t="s">
        <v>3816</v>
      </c>
      <c r="D1347" t="s">
        <v>4565</v>
      </c>
      <c r="E1347" t="s">
        <v>3817</v>
      </c>
      <c r="F1347">
        <v>119.96</v>
      </c>
      <c r="G1347" t="s">
        <v>3473</v>
      </c>
      <c r="H1347" t="s">
        <v>14</v>
      </c>
      <c r="I1347" s="26"/>
    </row>
    <row r="1348" spans="1:9" x14ac:dyDescent="0.2">
      <c r="A1348">
        <v>1335</v>
      </c>
      <c r="B1348" t="s">
        <v>3818</v>
      </c>
      <c r="C1348" t="s">
        <v>3819</v>
      </c>
      <c r="D1348" t="s">
        <v>854</v>
      </c>
      <c r="E1348" t="s">
        <v>3820</v>
      </c>
      <c r="F1348">
        <v>6.5430000000000001</v>
      </c>
      <c r="G1348" t="s">
        <v>856</v>
      </c>
      <c r="H1348" t="s">
        <v>14</v>
      </c>
      <c r="I1348" s="26"/>
    </row>
    <row r="1349" spans="1:9" x14ac:dyDescent="0.2">
      <c r="A1349">
        <v>1336</v>
      </c>
      <c r="B1349" t="s">
        <v>3821</v>
      </c>
      <c r="C1349" t="s">
        <v>3822</v>
      </c>
      <c r="D1349" t="s">
        <v>854</v>
      </c>
      <c r="E1349" t="s">
        <v>3823</v>
      </c>
      <c r="F1349">
        <v>7.5129999999999999</v>
      </c>
      <c r="G1349" t="s">
        <v>856</v>
      </c>
      <c r="H1349" t="s">
        <v>14</v>
      </c>
      <c r="I1349" s="26"/>
    </row>
    <row r="1350" spans="1:9" x14ac:dyDescent="0.2">
      <c r="A1350">
        <v>1337</v>
      </c>
      <c r="B1350" t="s">
        <v>3824</v>
      </c>
      <c r="C1350" t="s">
        <v>3825</v>
      </c>
      <c r="D1350" t="s">
        <v>4558</v>
      </c>
      <c r="E1350" t="s">
        <v>3826</v>
      </c>
      <c r="F1350">
        <v>5.04</v>
      </c>
      <c r="G1350" t="s">
        <v>610</v>
      </c>
      <c r="H1350" t="s">
        <v>14</v>
      </c>
      <c r="I1350" s="26"/>
    </row>
    <row r="1351" spans="1:9" x14ac:dyDescent="0.2">
      <c r="A1351">
        <v>1338</v>
      </c>
      <c r="B1351" t="s">
        <v>3827</v>
      </c>
      <c r="C1351" t="s">
        <v>3828</v>
      </c>
      <c r="D1351" t="s">
        <v>1779</v>
      </c>
      <c r="E1351" t="s">
        <v>3829</v>
      </c>
      <c r="F1351">
        <v>3.45</v>
      </c>
      <c r="G1351" t="s">
        <v>1781</v>
      </c>
      <c r="H1351" t="s">
        <v>14</v>
      </c>
      <c r="I1351" s="26"/>
    </row>
    <row r="1352" spans="1:9" x14ac:dyDescent="0.2">
      <c r="A1352">
        <v>1339</v>
      </c>
      <c r="B1352" t="s">
        <v>3830</v>
      </c>
      <c r="C1352" t="s">
        <v>3831</v>
      </c>
      <c r="D1352" t="s">
        <v>1940</v>
      </c>
      <c r="E1352" t="s">
        <v>3832</v>
      </c>
      <c r="F1352">
        <v>122.4</v>
      </c>
      <c r="G1352" t="s">
        <v>1942</v>
      </c>
      <c r="H1352" t="s">
        <v>14</v>
      </c>
      <c r="I1352" s="26">
        <v>42615</v>
      </c>
    </row>
    <row r="1353" spans="1:9" x14ac:dyDescent="0.2">
      <c r="A1353">
        <v>1340</v>
      </c>
      <c r="B1353" t="s">
        <v>3833</v>
      </c>
      <c r="C1353" t="s">
        <v>3834</v>
      </c>
      <c r="D1353" t="s">
        <v>1206</v>
      </c>
      <c r="E1353" t="s">
        <v>3835</v>
      </c>
      <c r="F1353">
        <v>2.91</v>
      </c>
      <c r="G1353" t="s">
        <v>1208</v>
      </c>
      <c r="H1353" t="s">
        <v>14</v>
      </c>
      <c r="I1353" s="26">
        <v>42305</v>
      </c>
    </row>
    <row r="1354" spans="1:9" x14ac:dyDescent="0.2">
      <c r="A1354">
        <v>1341</v>
      </c>
      <c r="B1354" t="s">
        <v>3836</v>
      </c>
      <c r="C1354" t="s">
        <v>3837</v>
      </c>
      <c r="D1354" t="s">
        <v>580</v>
      </c>
      <c r="E1354" t="s">
        <v>3838</v>
      </c>
      <c r="F1354">
        <v>45.69</v>
      </c>
      <c r="G1354" t="s">
        <v>582</v>
      </c>
      <c r="H1354" t="s">
        <v>14</v>
      </c>
      <c r="I1354" s="26">
        <v>42381</v>
      </c>
    </row>
    <row r="1355" spans="1:9" x14ac:dyDescent="0.2">
      <c r="A1355">
        <v>1342</v>
      </c>
      <c r="B1355" t="s">
        <v>3839</v>
      </c>
      <c r="C1355" t="s">
        <v>3840</v>
      </c>
      <c r="D1355" t="s">
        <v>1206</v>
      </c>
      <c r="E1355" t="s">
        <v>3841</v>
      </c>
      <c r="F1355">
        <v>15.79</v>
      </c>
      <c r="G1355" t="s">
        <v>1208</v>
      </c>
      <c r="H1355" t="s">
        <v>14</v>
      </c>
      <c r="I1355" s="26">
        <v>42381</v>
      </c>
    </row>
    <row r="1356" spans="1:9" x14ac:dyDescent="0.2">
      <c r="A1356">
        <v>1343</v>
      </c>
      <c r="B1356" t="s">
        <v>3842</v>
      </c>
      <c r="C1356" t="s">
        <v>3843</v>
      </c>
      <c r="D1356" t="s">
        <v>1779</v>
      </c>
      <c r="E1356" t="s">
        <v>3844</v>
      </c>
      <c r="F1356">
        <v>16.12</v>
      </c>
      <c r="G1356" t="s">
        <v>1781</v>
      </c>
      <c r="H1356" t="s">
        <v>14</v>
      </c>
      <c r="I1356" s="26">
        <v>42381</v>
      </c>
    </row>
    <row r="1357" spans="1:9" x14ac:dyDescent="0.2">
      <c r="A1357">
        <v>1344</v>
      </c>
      <c r="B1357" t="s">
        <v>3845</v>
      </c>
      <c r="C1357" t="s">
        <v>3846</v>
      </c>
      <c r="D1357" t="s">
        <v>3847</v>
      </c>
      <c r="E1357" t="s">
        <v>3848</v>
      </c>
      <c r="F1357">
        <v>3.2532000000000001</v>
      </c>
      <c r="G1357" t="s">
        <v>3849</v>
      </c>
      <c r="H1357" t="s">
        <v>14</v>
      </c>
      <c r="I1357" s="26"/>
    </row>
    <row r="1358" spans="1:9" x14ac:dyDescent="0.2">
      <c r="A1358">
        <v>1345</v>
      </c>
      <c r="B1358" t="s">
        <v>3850</v>
      </c>
      <c r="C1358" t="s">
        <v>3851</v>
      </c>
      <c r="D1358" t="s">
        <v>3847</v>
      </c>
      <c r="E1358" t="s">
        <v>3852</v>
      </c>
      <c r="F1358">
        <v>3.9872000000000001</v>
      </c>
      <c r="G1358" t="s">
        <v>3849</v>
      </c>
      <c r="H1358" t="s">
        <v>14</v>
      </c>
      <c r="I1358" s="26"/>
    </row>
    <row r="1359" spans="1:9" x14ac:dyDescent="0.2">
      <c r="A1359">
        <v>1346</v>
      </c>
      <c r="B1359" t="s">
        <v>3853</v>
      </c>
      <c r="C1359" t="s">
        <v>3854</v>
      </c>
      <c r="D1359" t="s">
        <v>2095</v>
      </c>
      <c r="E1359" t="s">
        <v>3855</v>
      </c>
      <c r="F1359">
        <v>58.72</v>
      </c>
      <c r="G1359" t="s">
        <v>2097</v>
      </c>
      <c r="H1359" t="s">
        <v>14</v>
      </c>
      <c r="I1359" s="26"/>
    </row>
    <row r="1360" spans="1:9" x14ac:dyDescent="0.2">
      <c r="A1360">
        <v>1347</v>
      </c>
      <c r="B1360" t="s">
        <v>3856</v>
      </c>
      <c r="C1360" t="s">
        <v>3857</v>
      </c>
      <c r="D1360" t="s">
        <v>2095</v>
      </c>
      <c r="E1360" t="s">
        <v>3858</v>
      </c>
      <c r="F1360">
        <v>72.38</v>
      </c>
      <c r="G1360" t="s">
        <v>2097</v>
      </c>
      <c r="H1360" t="s">
        <v>14</v>
      </c>
      <c r="I1360" s="26"/>
    </row>
    <row r="1361" spans="1:9" x14ac:dyDescent="0.2">
      <c r="A1361">
        <v>1348</v>
      </c>
      <c r="B1361" t="s">
        <v>3859</v>
      </c>
      <c r="C1361" t="s">
        <v>3860</v>
      </c>
      <c r="D1361" t="s">
        <v>2095</v>
      </c>
      <c r="E1361" t="s">
        <v>3861</v>
      </c>
      <c r="F1361">
        <v>89.81</v>
      </c>
      <c r="G1361" t="s">
        <v>2097</v>
      </c>
      <c r="H1361" t="s">
        <v>14</v>
      </c>
      <c r="I1361" s="26">
        <v>42339</v>
      </c>
    </row>
    <row r="1362" spans="1:9" x14ac:dyDescent="0.2">
      <c r="A1362">
        <v>1349</v>
      </c>
      <c r="B1362" t="s">
        <v>3862</v>
      </c>
      <c r="C1362" t="s">
        <v>3863</v>
      </c>
      <c r="D1362" t="s">
        <v>2095</v>
      </c>
      <c r="E1362" t="s">
        <v>3864</v>
      </c>
      <c r="F1362">
        <v>189.19</v>
      </c>
      <c r="G1362" t="s">
        <v>2097</v>
      </c>
      <c r="H1362" t="s">
        <v>14</v>
      </c>
      <c r="I1362" s="26">
        <v>42289</v>
      </c>
    </row>
    <row r="1363" spans="1:9" x14ac:dyDescent="0.2">
      <c r="A1363">
        <v>1350</v>
      </c>
      <c r="B1363" t="s">
        <v>3865</v>
      </c>
      <c r="C1363" t="s">
        <v>3866</v>
      </c>
      <c r="D1363" t="s">
        <v>2095</v>
      </c>
      <c r="E1363" t="s">
        <v>3867</v>
      </c>
      <c r="F1363">
        <v>201.82</v>
      </c>
      <c r="G1363" t="s">
        <v>2097</v>
      </c>
      <c r="H1363" t="s">
        <v>14</v>
      </c>
      <c r="I1363" s="26"/>
    </row>
    <row r="1364" spans="1:9" x14ac:dyDescent="0.2">
      <c r="A1364">
        <v>1351</v>
      </c>
      <c r="B1364" t="s">
        <v>3868</v>
      </c>
      <c r="C1364" t="s">
        <v>3869</v>
      </c>
      <c r="D1364" t="s">
        <v>3712</v>
      </c>
      <c r="E1364" t="s">
        <v>3870</v>
      </c>
      <c r="F1364">
        <v>3.93</v>
      </c>
      <c r="G1364" t="s">
        <v>3714</v>
      </c>
      <c r="H1364" t="s">
        <v>14</v>
      </c>
      <c r="I1364" s="26">
        <v>42615</v>
      </c>
    </row>
    <row r="1365" spans="1:9" x14ac:dyDescent="0.2">
      <c r="A1365">
        <v>1352</v>
      </c>
      <c r="B1365" t="s">
        <v>3871</v>
      </c>
      <c r="C1365" t="s">
        <v>3872</v>
      </c>
      <c r="D1365" t="s">
        <v>2095</v>
      </c>
      <c r="E1365" t="s">
        <v>3873</v>
      </c>
      <c r="F1365">
        <v>272.95</v>
      </c>
      <c r="G1365" t="s">
        <v>2097</v>
      </c>
      <c r="H1365" t="s">
        <v>14</v>
      </c>
      <c r="I1365" s="26">
        <v>42290</v>
      </c>
    </row>
    <row r="1366" spans="1:9" x14ac:dyDescent="0.2">
      <c r="A1366">
        <v>1353</v>
      </c>
      <c r="B1366" t="s">
        <v>3874</v>
      </c>
      <c r="C1366" t="s">
        <v>3875</v>
      </c>
      <c r="D1366" t="s">
        <v>2450</v>
      </c>
      <c r="E1366" t="s">
        <v>3876</v>
      </c>
      <c r="F1366">
        <v>56.92</v>
      </c>
      <c r="G1366" t="s">
        <v>2452</v>
      </c>
      <c r="H1366" t="s">
        <v>14</v>
      </c>
      <c r="I1366" s="26"/>
    </row>
    <row r="1367" spans="1:9" x14ac:dyDescent="0.2">
      <c r="A1367">
        <v>1354</v>
      </c>
      <c r="B1367" t="s">
        <v>3877</v>
      </c>
      <c r="C1367" t="s">
        <v>3878</v>
      </c>
      <c r="D1367" t="s">
        <v>2450</v>
      </c>
      <c r="E1367" t="s">
        <v>3879</v>
      </c>
      <c r="F1367">
        <v>73.819999999999993</v>
      </c>
      <c r="G1367" t="s">
        <v>2452</v>
      </c>
      <c r="H1367" t="s">
        <v>14</v>
      </c>
      <c r="I1367" s="26"/>
    </row>
    <row r="1368" spans="1:9" x14ac:dyDescent="0.2">
      <c r="A1368">
        <v>1355</v>
      </c>
      <c r="B1368" t="s">
        <v>3880</v>
      </c>
      <c r="C1368" t="s">
        <v>3881</v>
      </c>
      <c r="D1368" t="s">
        <v>2450</v>
      </c>
      <c r="E1368" t="s">
        <v>3882</v>
      </c>
      <c r="F1368">
        <v>78.33</v>
      </c>
      <c r="G1368" t="s">
        <v>2452</v>
      </c>
      <c r="H1368" t="s">
        <v>14</v>
      </c>
      <c r="I1368" s="26">
        <v>42321</v>
      </c>
    </row>
    <row r="1369" spans="1:9" x14ac:dyDescent="0.2">
      <c r="A1369">
        <v>1356</v>
      </c>
      <c r="B1369" t="s">
        <v>3883</v>
      </c>
      <c r="C1369" t="s">
        <v>3884</v>
      </c>
      <c r="D1369" t="s">
        <v>2450</v>
      </c>
      <c r="E1369" t="s">
        <v>2451</v>
      </c>
      <c r="F1369">
        <v>59.34</v>
      </c>
      <c r="G1369" t="s">
        <v>2452</v>
      </c>
      <c r="H1369" t="s">
        <v>14</v>
      </c>
      <c r="I1369" s="26"/>
    </row>
    <row r="1370" spans="1:9" x14ac:dyDescent="0.2">
      <c r="A1370">
        <v>1357</v>
      </c>
      <c r="B1370" t="s">
        <v>3885</v>
      </c>
      <c r="C1370" t="s">
        <v>3886</v>
      </c>
      <c r="D1370" t="s">
        <v>3887</v>
      </c>
      <c r="E1370" t="s">
        <v>3888</v>
      </c>
      <c r="F1370">
        <v>22.43</v>
      </c>
      <c r="G1370" t="s">
        <v>3889</v>
      </c>
      <c r="H1370" t="s">
        <v>14</v>
      </c>
      <c r="I1370" s="26">
        <v>42305</v>
      </c>
    </row>
    <row r="1371" spans="1:9" x14ac:dyDescent="0.2">
      <c r="A1371">
        <v>1358</v>
      </c>
      <c r="B1371" t="s">
        <v>3890</v>
      </c>
      <c r="C1371" t="s">
        <v>3891</v>
      </c>
      <c r="D1371" t="s">
        <v>4558</v>
      </c>
      <c r="E1371" t="s">
        <v>3892</v>
      </c>
      <c r="F1371">
        <v>0.14000000000000001</v>
      </c>
      <c r="G1371" t="s">
        <v>610</v>
      </c>
      <c r="H1371" t="s">
        <v>14</v>
      </c>
      <c r="I1371" s="26"/>
    </row>
    <row r="1372" spans="1:9" x14ac:dyDescent="0.2">
      <c r="A1372">
        <v>1359</v>
      </c>
      <c r="B1372" t="s">
        <v>3893</v>
      </c>
      <c r="C1372" t="s">
        <v>3894</v>
      </c>
      <c r="D1372" t="s">
        <v>3895</v>
      </c>
      <c r="E1372" t="s">
        <v>3896</v>
      </c>
      <c r="F1372">
        <v>1.75</v>
      </c>
      <c r="G1372" t="s">
        <v>3897</v>
      </c>
      <c r="H1372" t="s">
        <v>14</v>
      </c>
      <c r="I1372" s="26"/>
    </row>
    <row r="1373" spans="1:9" x14ac:dyDescent="0.2">
      <c r="A1373">
        <v>1360</v>
      </c>
      <c r="B1373" t="s">
        <v>3898</v>
      </c>
      <c r="C1373" t="s">
        <v>3899</v>
      </c>
      <c r="D1373" t="s">
        <v>3895</v>
      </c>
      <c r="E1373" t="s">
        <v>3900</v>
      </c>
      <c r="F1373">
        <v>1.62</v>
      </c>
      <c r="G1373" t="s">
        <v>3897</v>
      </c>
      <c r="H1373" t="s">
        <v>14</v>
      </c>
      <c r="I1373" s="26">
        <v>42339</v>
      </c>
    </row>
    <row r="1374" spans="1:9" x14ac:dyDescent="0.2">
      <c r="A1374">
        <v>1361</v>
      </c>
      <c r="B1374" t="s">
        <v>3901</v>
      </c>
      <c r="C1374" t="s">
        <v>3902</v>
      </c>
      <c r="D1374" t="s">
        <v>3903</v>
      </c>
      <c r="E1374" t="s">
        <v>3904</v>
      </c>
      <c r="F1374">
        <v>4.4499999999999998E-2</v>
      </c>
      <c r="G1374" t="s">
        <v>3905</v>
      </c>
      <c r="H1374" t="s">
        <v>14</v>
      </c>
      <c r="I1374" s="26">
        <v>42615</v>
      </c>
    </row>
    <row r="1375" spans="1:9" x14ac:dyDescent="0.2">
      <c r="A1375">
        <v>1362</v>
      </c>
      <c r="B1375" t="s">
        <v>3906</v>
      </c>
      <c r="C1375" t="s">
        <v>3907</v>
      </c>
      <c r="D1375" t="s">
        <v>3908</v>
      </c>
      <c r="E1375" t="s">
        <v>3909</v>
      </c>
      <c r="F1375">
        <v>0.30880000000000002</v>
      </c>
      <c r="G1375" t="s">
        <v>3910</v>
      </c>
      <c r="H1375" t="s">
        <v>14</v>
      </c>
      <c r="I1375" s="26">
        <v>42933</v>
      </c>
    </row>
    <row r="1376" spans="1:9" x14ac:dyDescent="0.2">
      <c r="A1376">
        <v>1363</v>
      </c>
      <c r="B1376" t="s">
        <v>3911</v>
      </c>
      <c r="C1376" t="s">
        <v>3912</v>
      </c>
      <c r="D1376" t="s">
        <v>3895</v>
      </c>
      <c r="E1376" t="s">
        <v>3913</v>
      </c>
      <c r="F1376">
        <v>1.35</v>
      </c>
      <c r="G1376" t="s">
        <v>3897</v>
      </c>
      <c r="H1376" t="s">
        <v>14</v>
      </c>
      <c r="I1376" s="26">
        <v>42933</v>
      </c>
    </row>
    <row r="1377" spans="1:9" x14ac:dyDescent="0.2">
      <c r="A1377">
        <v>1364</v>
      </c>
      <c r="B1377" t="s">
        <v>3914</v>
      </c>
      <c r="C1377" t="s">
        <v>3915</v>
      </c>
      <c r="D1377" t="s">
        <v>3895</v>
      </c>
      <c r="E1377" t="s">
        <v>3916</v>
      </c>
      <c r="F1377">
        <v>0.86399999999999999</v>
      </c>
      <c r="G1377" t="s">
        <v>3897</v>
      </c>
      <c r="H1377" t="s">
        <v>14</v>
      </c>
      <c r="I1377" s="26">
        <v>42339</v>
      </c>
    </row>
    <row r="1378" spans="1:9" x14ac:dyDescent="0.2">
      <c r="A1378">
        <v>1365</v>
      </c>
      <c r="B1378" t="s">
        <v>3917</v>
      </c>
      <c r="C1378" t="s">
        <v>3918</v>
      </c>
      <c r="D1378" t="s">
        <v>4558</v>
      </c>
      <c r="E1378" t="s">
        <v>3919</v>
      </c>
      <c r="F1378">
        <v>0.18</v>
      </c>
      <c r="G1378" t="s">
        <v>610</v>
      </c>
      <c r="H1378" t="s">
        <v>14</v>
      </c>
      <c r="I1378" s="26"/>
    </row>
    <row r="1379" spans="1:9" x14ac:dyDescent="0.2">
      <c r="A1379">
        <v>1366</v>
      </c>
      <c r="B1379" t="s">
        <v>3920</v>
      </c>
      <c r="C1379" t="s">
        <v>3921</v>
      </c>
      <c r="D1379" t="s">
        <v>4558</v>
      </c>
      <c r="E1379" t="s">
        <v>3922</v>
      </c>
      <c r="F1379">
        <v>0.15</v>
      </c>
      <c r="G1379" t="s">
        <v>610</v>
      </c>
      <c r="H1379" t="s">
        <v>14</v>
      </c>
      <c r="I1379" s="26"/>
    </row>
    <row r="1380" spans="1:9" x14ac:dyDescent="0.2">
      <c r="A1380">
        <v>1367</v>
      </c>
      <c r="B1380" t="s">
        <v>3923</v>
      </c>
      <c r="C1380" t="s">
        <v>3924</v>
      </c>
      <c r="D1380" t="s">
        <v>4558</v>
      </c>
      <c r="E1380" t="s">
        <v>3925</v>
      </c>
      <c r="F1380">
        <v>0.13</v>
      </c>
      <c r="G1380" t="s">
        <v>610</v>
      </c>
      <c r="H1380" t="s">
        <v>14</v>
      </c>
      <c r="I1380" s="26"/>
    </row>
    <row r="1381" spans="1:9" x14ac:dyDescent="0.2">
      <c r="A1381">
        <v>1368</v>
      </c>
      <c r="B1381" t="s">
        <v>3926</v>
      </c>
      <c r="C1381" t="s">
        <v>3927</v>
      </c>
      <c r="D1381" t="s">
        <v>4558</v>
      </c>
      <c r="E1381" t="s">
        <v>3928</v>
      </c>
      <c r="F1381">
        <v>0.65</v>
      </c>
      <c r="G1381" t="s">
        <v>610</v>
      </c>
      <c r="H1381" t="s">
        <v>14</v>
      </c>
      <c r="I1381" s="26"/>
    </row>
    <row r="1382" spans="1:9" x14ac:dyDescent="0.2">
      <c r="A1382">
        <v>1369</v>
      </c>
      <c r="B1382" t="s">
        <v>3929</v>
      </c>
      <c r="C1382" t="s">
        <v>3930</v>
      </c>
      <c r="D1382" t="s">
        <v>3895</v>
      </c>
      <c r="E1382" t="s">
        <v>3931</v>
      </c>
      <c r="F1382">
        <v>1</v>
      </c>
      <c r="G1382" t="s">
        <v>3897</v>
      </c>
      <c r="H1382" t="s">
        <v>14</v>
      </c>
      <c r="I1382" s="26"/>
    </row>
    <row r="1383" spans="1:9" x14ac:dyDescent="0.2">
      <c r="A1383">
        <v>1370</v>
      </c>
      <c r="B1383" t="s">
        <v>3932</v>
      </c>
      <c r="C1383" t="s">
        <v>3933</v>
      </c>
      <c r="D1383" t="s">
        <v>3903</v>
      </c>
      <c r="E1383" t="s">
        <v>3934</v>
      </c>
      <c r="F1383">
        <v>4.48E-2</v>
      </c>
      <c r="G1383" t="s">
        <v>3905</v>
      </c>
      <c r="H1383" t="s">
        <v>14</v>
      </c>
      <c r="I1383" s="26">
        <v>42551</v>
      </c>
    </row>
    <row r="1384" spans="1:9" x14ac:dyDescent="0.2">
      <c r="A1384">
        <v>1371</v>
      </c>
      <c r="B1384" t="s">
        <v>3935</v>
      </c>
      <c r="C1384" t="s">
        <v>3936</v>
      </c>
      <c r="D1384" t="s">
        <v>4558</v>
      </c>
      <c r="E1384" t="s">
        <v>3925</v>
      </c>
      <c r="F1384">
        <v>0.17</v>
      </c>
      <c r="G1384" t="s">
        <v>610</v>
      </c>
      <c r="H1384" t="s">
        <v>14</v>
      </c>
      <c r="I1384" s="26"/>
    </row>
    <row r="1385" spans="1:9" x14ac:dyDescent="0.2">
      <c r="A1385">
        <v>1372</v>
      </c>
      <c r="B1385" t="s">
        <v>3937</v>
      </c>
      <c r="C1385" t="s">
        <v>3938</v>
      </c>
      <c r="D1385" t="s">
        <v>3908</v>
      </c>
      <c r="E1385" t="s">
        <v>3939</v>
      </c>
      <c r="F1385">
        <v>0.14960000000000001</v>
      </c>
      <c r="G1385" t="s">
        <v>3910</v>
      </c>
      <c r="H1385" t="s">
        <v>14</v>
      </c>
      <c r="I1385" s="26">
        <v>42933</v>
      </c>
    </row>
    <row r="1386" spans="1:9" x14ac:dyDescent="0.2">
      <c r="A1386">
        <v>1373</v>
      </c>
      <c r="B1386" t="s">
        <v>3940</v>
      </c>
      <c r="C1386" t="s">
        <v>3941</v>
      </c>
      <c r="D1386" t="s">
        <v>3908</v>
      </c>
      <c r="E1386" t="s">
        <v>3942</v>
      </c>
      <c r="F1386">
        <v>0.1368</v>
      </c>
      <c r="G1386" t="s">
        <v>3910</v>
      </c>
      <c r="H1386" t="s">
        <v>14</v>
      </c>
      <c r="I1386" s="26">
        <v>42933</v>
      </c>
    </row>
    <row r="1387" spans="1:9" x14ac:dyDescent="0.2">
      <c r="A1387">
        <v>1374</v>
      </c>
      <c r="B1387" t="s">
        <v>3943</v>
      </c>
      <c r="C1387" t="s">
        <v>3944</v>
      </c>
      <c r="D1387" t="s">
        <v>4558</v>
      </c>
      <c r="E1387" t="s">
        <v>3945</v>
      </c>
      <c r="F1387">
        <v>0.37</v>
      </c>
      <c r="G1387" t="s">
        <v>610</v>
      </c>
      <c r="H1387" t="s">
        <v>14</v>
      </c>
      <c r="I1387" s="26"/>
    </row>
    <row r="1388" spans="1:9" x14ac:dyDescent="0.2">
      <c r="A1388">
        <v>1375</v>
      </c>
      <c r="B1388" t="s">
        <v>3946</v>
      </c>
      <c r="C1388" t="s">
        <v>3947</v>
      </c>
      <c r="D1388" t="s">
        <v>3948</v>
      </c>
      <c r="E1388" t="s">
        <v>3949</v>
      </c>
      <c r="F1388">
        <v>1.85</v>
      </c>
      <c r="G1388" t="s">
        <v>3950</v>
      </c>
      <c r="H1388" t="s">
        <v>14</v>
      </c>
      <c r="I1388" s="26"/>
    </row>
    <row r="1389" spans="1:9" x14ac:dyDescent="0.2">
      <c r="A1389">
        <v>1376</v>
      </c>
      <c r="B1389" t="s">
        <v>3951</v>
      </c>
      <c r="C1389" t="s">
        <v>3952</v>
      </c>
      <c r="D1389" t="s">
        <v>3948</v>
      </c>
      <c r="E1389" t="s">
        <v>3953</v>
      </c>
      <c r="F1389">
        <v>4.6600999999999999</v>
      </c>
      <c r="G1389" t="s">
        <v>3950</v>
      </c>
      <c r="H1389" t="s">
        <v>14</v>
      </c>
      <c r="I1389" s="26"/>
    </row>
    <row r="1390" spans="1:9" x14ac:dyDescent="0.2">
      <c r="A1390">
        <v>1377</v>
      </c>
      <c r="B1390" t="s">
        <v>3954</v>
      </c>
      <c r="C1390" t="s">
        <v>3955</v>
      </c>
      <c r="D1390" t="s">
        <v>3948</v>
      </c>
      <c r="E1390" t="s">
        <v>3956</v>
      </c>
      <c r="F1390">
        <v>6.22</v>
      </c>
      <c r="G1390" t="s">
        <v>3950</v>
      </c>
      <c r="H1390" t="s">
        <v>14</v>
      </c>
      <c r="I1390" s="26"/>
    </row>
    <row r="1391" spans="1:9" x14ac:dyDescent="0.2">
      <c r="A1391">
        <v>1378</v>
      </c>
      <c r="B1391" t="s">
        <v>3957</v>
      </c>
      <c r="C1391" t="s">
        <v>3958</v>
      </c>
      <c r="D1391" t="s">
        <v>3948</v>
      </c>
      <c r="E1391" t="s">
        <v>3959</v>
      </c>
      <c r="F1391">
        <v>6.6238999999999999</v>
      </c>
      <c r="G1391" t="s">
        <v>3950</v>
      </c>
      <c r="H1391" t="s">
        <v>14</v>
      </c>
      <c r="I1391" s="26"/>
    </row>
    <row r="1392" spans="1:9" x14ac:dyDescent="0.2">
      <c r="A1392">
        <v>1379</v>
      </c>
      <c r="B1392" t="s">
        <v>3960</v>
      </c>
      <c r="C1392" t="s">
        <v>3961</v>
      </c>
      <c r="D1392" t="s">
        <v>4558</v>
      </c>
      <c r="E1392" t="s">
        <v>3962</v>
      </c>
      <c r="F1392">
        <v>0.1918</v>
      </c>
      <c r="G1392" t="s">
        <v>610</v>
      </c>
      <c r="H1392" t="s">
        <v>14</v>
      </c>
      <c r="I1392" s="26"/>
    </row>
    <row r="1393" spans="1:9" x14ac:dyDescent="0.2">
      <c r="A1393">
        <v>1380</v>
      </c>
      <c r="B1393" t="s">
        <v>3963</v>
      </c>
      <c r="C1393" t="s">
        <v>3964</v>
      </c>
      <c r="D1393" t="s">
        <v>4558</v>
      </c>
      <c r="E1393" t="s">
        <v>3962</v>
      </c>
      <c r="F1393">
        <v>0.2</v>
      </c>
      <c r="G1393" t="s">
        <v>610</v>
      </c>
      <c r="H1393" t="s">
        <v>14</v>
      </c>
      <c r="I1393" s="26"/>
    </row>
    <row r="1394" spans="1:9" x14ac:dyDescent="0.2">
      <c r="A1394">
        <v>1381</v>
      </c>
      <c r="B1394" t="s">
        <v>3965</v>
      </c>
      <c r="C1394" t="s">
        <v>3966</v>
      </c>
      <c r="D1394" t="s">
        <v>3895</v>
      </c>
      <c r="E1394" t="s">
        <v>3967</v>
      </c>
      <c r="F1394">
        <v>1</v>
      </c>
      <c r="G1394" t="s">
        <v>3897</v>
      </c>
      <c r="H1394" t="s">
        <v>14</v>
      </c>
      <c r="I1394" s="26">
        <v>42933</v>
      </c>
    </row>
    <row r="1395" spans="1:9" x14ac:dyDescent="0.2">
      <c r="A1395">
        <v>1382</v>
      </c>
      <c r="B1395" t="s">
        <v>3968</v>
      </c>
      <c r="C1395" t="s">
        <v>3969</v>
      </c>
      <c r="D1395" t="s">
        <v>4558</v>
      </c>
      <c r="E1395" t="s">
        <v>3970</v>
      </c>
      <c r="F1395">
        <v>0.19</v>
      </c>
      <c r="G1395" t="s">
        <v>610</v>
      </c>
      <c r="H1395" t="s">
        <v>14</v>
      </c>
      <c r="I1395" s="26"/>
    </row>
    <row r="1396" spans="1:9" x14ac:dyDescent="0.2">
      <c r="A1396">
        <v>1383</v>
      </c>
      <c r="B1396" t="s">
        <v>3971</v>
      </c>
      <c r="C1396" t="s">
        <v>3972</v>
      </c>
      <c r="D1396" t="s">
        <v>3973</v>
      </c>
      <c r="E1396" t="s">
        <v>3974</v>
      </c>
      <c r="F1396">
        <v>5.3333000000000004</v>
      </c>
      <c r="G1396" t="s">
        <v>3975</v>
      </c>
      <c r="H1396" t="s">
        <v>14</v>
      </c>
      <c r="I1396" s="26">
        <v>43217</v>
      </c>
    </row>
    <row r="1397" spans="1:9" x14ac:dyDescent="0.2">
      <c r="A1397">
        <v>1384</v>
      </c>
      <c r="B1397" t="s">
        <v>3976</v>
      </c>
      <c r="C1397" t="s">
        <v>3977</v>
      </c>
      <c r="D1397" t="s">
        <v>3895</v>
      </c>
      <c r="E1397" t="s">
        <v>3978</v>
      </c>
      <c r="F1397">
        <v>1.3</v>
      </c>
      <c r="G1397" t="s">
        <v>3897</v>
      </c>
      <c r="H1397" t="s">
        <v>14</v>
      </c>
      <c r="I1397" s="26">
        <v>42933</v>
      </c>
    </row>
    <row r="1398" spans="1:9" x14ac:dyDescent="0.2">
      <c r="A1398">
        <v>1385</v>
      </c>
      <c r="B1398" t="s">
        <v>3979</v>
      </c>
      <c r="C1398" t="s">
        <v>3980</v>
      </c>
      <c r="D1398" t="s">
        <v>3895</v>
      </c>
      <c r="E1398" t="s">
        <v>3981</v>
      </c>
      <c r="F1398">
        <v>1.8149999999999999</v>
      </c>
      <c r="G1398" t="s">
        <v>3897</v>
      </c>
      <c r="H1398" t="s">
        <v>14</v>
      </c>
      <c r="I1398" s="26">
        <v>42339</v>
      </c>
    </row>
    <row r="1399" spans="1:9" x14ac:dyDescent="0.2">
      <c r="A1399">
        <v>1386</v>
      </c>
      <c r="B1399" t="s">
        <v>3982</v>
      </c>
      <c r="C1399" t="s">
        <v>3983</v>
      </c>
      <c r="D1399" t="s">
        <v>3895</v>
      </c>
      <c r="E1399" t="s">
        <v>3984</v>
      </c>
      <c r="F1399">
        <v>3.2</v>
      </c>
      <c r="G1399" t="s">
        <v>3897</v>
      </c>
      <c r="H1399" t="s">
        <v>14</v>
      </c>
      <c r="I1399" s="26"/>
    </row>
    <row r="1400" spans="1:9" x14ac:dyDescent="0.2">
      <c r="A1400">
        <v>1387</v>
      </c>
      <c r="B1400" t="s">
        <v>3985</v>
      </c>
      <c r="C1400" t="s">
        <v>3986</v>
      </c>
      <c r="D1400" t="s">
        <v>3903</v>
      </c>
      <c r="E1400" t="s">
        <v>3987</v>
      </c>
      <c r="F1400">
        <v>0.18229999999999999</v>
      </c>
      <c r="G1400" t="s">
        <v>3905</v>
      </c>
      <c r="H1400" t="s">
        <v>14</v>
      </c>
      <c r="I1400" s="26">
        <v>42615</v>
      </c>
    </row>
    <row r="1401" spans="1:9" x14ac:dyDescent="0.2">
      <c r="A1401">
        <v>1388</v>
      </c>
      <c r="B1401" t="s">
        <v>3988</v>
      </c>
      <c r="C1401" t="s">
        <v>3989</v>
      </c>
      <c r="D1401" t="s">
        <v>4558</v>
      </c>
      <c r="E1401" t="s">
        <v>3990</v>
      </c>
      <c r="F1401">
        <v>0.38</v>
      </c>
      <c r="G1401" t="s">
        <v>610</v>
      </c>
      <c r="H1401" t="s">
        <v>14</v>
      </c>
      <c r="I1401" s="26"/>
    </row>
    <row r="1402" spans="1:9" x14ac:dyDescent="0.2">
      <c r="A1402">
        <v>1389</v>
      </c>
      <c r="B1402" t="s">
        <v>3991</v>
      </c>
      <c r="C1402" t="s">
        <v>3992</v>
      </c>
      <c r="D1402" t="s">
        <v>4558</v>
      </c>
      <c r="E1402" t="s">
        <v>3993</v>
      </c>
      <c r="F1402">
        <v>0.28000000000000003</v>
      </c>
      <c r="G1402" t="s">
        <v>610</v>
      </c>
      <c r="H1402" t="s">
        <v>14</v>
      </c>
      <c r="I1402" s="26"/>
    </row>
    <row r="1403" spans="1:9" x14ac:dyDescent="0.2">
      <c r="A1403">
        <v>1390</v>
      </c>
      <c r="B1403" t="s">
        <v>3994</v>
      </c>
      <c r="C1403" t="s">
        <v>3995</v>
      </c>
      <c r="D1403" t="s">
        <v>4558</v>
      </c>
      <c r="E1403" t="s">
        <v>3996</v>
      </c>
      <c r="F1403">
        <v>0.61</v>
      </c>
      <c r="G1403" t="s">
        <v>610</v>
      </c>
      <c r="H1403" t="s">
        <v>14</v>
      </c>
      <c r="I1403" s="26"/>
    </row>
    <row r="1404" spans="1:9" x14ac:dyDescent="0.2">
      <c r="A1404">
        <v>1391</v>
      </c>
      <c r="B1404" t="s">
        <v>3997</v>
      </c>
      <c r="C1404" t="s">
        <v>3998</v>
      </c>
      <c r="D1404" t="s">
        <v>4558</v>
      </c>
      <c r="E1404" t="s">
        <v>3999</v>
      </c>
      <c r="F1404">
        <v>0.32</v>
      </c>
      <c r="G1404" t="s">
        <v>610</v>
      </c>
      <c r="H1404" t="s">
        <v>14</v>
      </c>
      <c r="I1404" s="26"/>
    </row>
    <row r="1405" spans="1:9" x14ac:dyDescent="0.2">
      <c r="A1405">
        <v>1392</v>
      </c>
      <c r="B1405" t="s">
        <v>4000</v>
      </c>
      <c r="C1405" t="s">
        <v>4001</v>
      </c>
      <c r="D1405" t="s">
        <v>4558</v>
      </c>
      <c r="E1405" t="s">
        <v>4002</v>
      </c>
      <c r="F1405">
        <v>0.41</v>
      </c>
      <c r="G1405" t="s">
        <v>610</v>
      </c>
      <c r="H1405" t="s">
        <v>14</v>
      </c>
      <c r="I1405" s="26"/>
    </row>
    <row r="1406" spans="1:9" x14ac:dyDescent="0.2">
      <c r="A1406">
        <v>1393</v>
      </c>
      <c r="B1406" t="s">
        <v>4003</v>
      </c>
      <c r="C1406" t="s">
        <v>4004</v>
      </c>
      <c r="D1406" t="s">
        <v>4558</v>
      </c>
      <c r="E1406" t="s">
        <v>4005</v>
      </c>
      <c r="F1406">
        <v>0.35</v>
      </c>
      <c r="G1406" t="s">
        <v>610</v>
      </c>
      <c r="H1406" t="s">
        <v>14</v>
      </c>
      <c r="I1406" s="26"/>
    </row>
    <row r="1407" spans="1:9" x14ac:dyDescent="0.2">
      <c r="A1407">
        <v>1394</v>
      </c>
      <c r="B1407" t="s">
        <v>4006</v>
      </c>
      <c r="C1407" t="s">
        <v>4007</v>
      </c>
      <c r="D1407" t="s">
        <v>4558</v>
      </c>
      <c r="E1407" t="s">
        <v>4008</v>
      </c>
      <c r="F1407">
        <v>0.35</v>
      </c>
      <c r="G1407" t="s">
        <v>610</v>
      </c>
      <c r="H1407" t="s">
        <v>14</v>
      </c>
      <c r="I1407" s="26"/>
    </row>
    <row r="1408" spans="1:9" x14ac:dyDescent="0.2">
      <c r="A1408">
        <v>1395</v>
      </c>
      <c r="B1408" t="s">
        <v>4009</v>
      </c>
      <c r="C1408" t="s">
        <v>4010</v>
      </c>
      <c r="D1408" t="s">
        <v>4558</v>
      </c>
      <c r="E1408" t="s">
        <v>4011</v>
      </c>
      <c r="F1408">
        <v>1.04</v>
      </c>
      <c r="G1408" t="s">
        <v>610</v>
      </c>
      <c r="H1408" t="s">
        <v>14</v>
      </c>
      <c r="I1408" s="26"/>
    </row>
    <row r="1409" spans="1:9" x14ac:dyDescent="0.2">
      <c r="A1409">
        <v>1396</v>
      </c>
      <c r="B1409" t="s">
        <v>4012</v>
      </c>
      <c r="C1409" t="s">
        <v>4013</v>
      </c>
      <c r="D1409" t="s">
        <v>4014</v>
      </c>
      <c r="E1409" t="s">
        <v>4015</v>
      </c>
      <c r="F1409">
        <v>1.0066999999999999</v>
      </c>
      <c r="G1409" t="s">
        <v>4016</v>
      </c>
      <c r="H1409" t="s">
        <v>14</v>
      </c>
      <c r="I1409" s="26"/>
    </row>
    <row r="1410" spans="1:9" x14ac:dyDescent="0.2">
      <c r="A1410">
        <v>1397</v>
      </c>
      <c r="B1410" t="s">
        <v>4017</v>
      </c>
      <c r="C1410" t="s">
        <v>4018</v>
      </c>
      <c r="D1410" t="s">
        <v>40</v>
      </c>
      <c r="E1410" t="s">
        <v>4019</v>
      </c>
      <c r="F1410">
        <v>62.21</v>
      </c>
      <c r="G1410" t="s">
        <v>42</v>
      </c>
      <c r="H1410" t="s">
        <v>14</v>
      </c>
      <c r="I1410" s="26">
        <v>42289</v>
      </c>
    </row>
    <row r="1411" spans="1:9" x14ac:dyDescent="0.2">
      <c r="A1411">
        <v>1398</v>
      </c>
      <c r="B1411" t="s">
        <v>4020</v>
      </c>
      <c r="C1411" t="s">
        <v>4021</v>
      </c>
      <c r="D1411" t="s">
        <v>4558</v>
      </c>
      <c r="E1411" t="s">
        <v>4022</v>
      </c>
      <c r="F1411">
        <v>0.52</v>
      </c>
      <c r="G1411" t="s">
        <v>610</v>
      </c>
      <c r="H1411" t="s">
        <v>14</v>
      </c>
      <c r="I1411" s="26"/>
    </row>
    <row r="1412" spans="1:9" x14ac:dyDescent="0.2">
      <c r="A1412">
        <v>1399</v>
      </c>
      <c r="B1412" t="s">
        <v>4023</v>
      </c>
      <c r="C1412" t="s">
        <v>4024</v>
      </c>
      <c r="D1412" t="s">
        <v>4558</v>
      </c>
      <c r="E1412" t="s">
        <v>4025</v>
      </c>
      <c r="F1412">
        <v>0.7</v>
      </c>
      <c r="G1412" t="s">
        <v>610</v>
      </c>
      <c r="H1412" t="s">
        <v>14</v>
      </c>
      <c r="I1412" s="26"/>
    </row>
    <row r="1413" spans="1:9" x14ac:dyDescent="0.2">
      <c r="A1413">
        <v>1400</v>
      </c>
      <c r="B1413" t="s">
        <v>4026</v>
      </c>
      <c r="C1413" t="s">
        <v>4027</v>
      </c>
      <c r="D1413" t="s">
        <v>4558</v>
      </c>
      <c r="E1413" t="s">
        <v>4028</v>
      </c>
      <c r="F1413">
        <v>0.95</v>
      </c>
      <c r="G1413" t="s">
        <v>610</v>
      </c>
      <c r="H1413" t="s">
        <v>14</v>
      </c>
      <c r="I1413" s="26"/>
    </row>
    <row r="1414" spans="1:9" x14ac:dyDescent="0.2">
      <c r="A1414">
        <v>1401</v>
      </c>
      <c r="B1414" t="s">
        <v>4029</v>
      </c>
      <c r="C1414" t="s">
        <v>4030</v>
      </c>
      <c r="D1414" t="s">
        <v>4558</v>
      </c>
      <c r="E1414" t="s">
        <v>4031</v>
      </c>
      <c r="F1414">
        <v>0.73</v>
      </c>
      <c r="G1414" t="s">
        <v>610</v>
      </c>
      <c r="H1414" t="s">
        <v>14</v>
      </c>
      <c r="I1414" s="26"/>
    </row>
    <row r="1415" spans="1:9" x14ac:dyDescent="0.2">
      <c r="A1415">
        <v>1402</v>
      </c>
      <c r="B1415" t="s">
        <v>4032</v>
      </c>
      <c r="C1415" t="s">
        <v>4033</v>
      </c>
      <c r="D1415" t="s">
        <v>4558</v>
      </c>
      <c r="E1415" t="s">
        <v>4034</v>
      </c>
      <c r="F1415">
        <v>1.1499999999999999</v>
      </c>
      <c r="G1415" t="s">
        <v>610</v>
      </c>
      <c r="H1415" t="s">
        <v>14</v>
      </c>
      <c r="I1415" s="26"/>
    </row>
    <row r="1416" spans="1:9" x14ac:dyDescent="0.2">
      <c r="A1416">
        <v>1403</v>
      </c>
      <c r="B1416" t="s">
        <v>4035</v>
      </c>
      <c r="C1416" t="s">
        <v>4036</v>
      </c>
      <c r="D1416" t="s">
        <v>3712</v>
      </c>
      <c r="E1416" t="s">
        <v>4037</v>
      </c>
      <c r="F1416">
        <v>0.65549999999999997</v>
      </c>
      <c r="G1416" t="s">
        <v>3714</v>
      </c>
      <c r="H1416" t="s">
        <v>14</v>
      </c>
      <c r="I1416" s="26">
        <v>42523</v>
      </c>
    </row>
    <row r="1417" spans="1:9" x14ac:dyDescent="0.2">
      <c r="A1417">
        <v>1404</v>
      </c>
      <c r="B1417" t="s">
        <v>4038</v>
      </c>
      <c r="C1417" t="s">
        <v>4039</v>
      </c>
      <c r="D1417" t="s">
        <v>3712</v>
      </c>
      <c r="E1417" t="s">
        <v>4040</v>
      </c>
      <c r="F1417">
        <v>1.1200000000000001</v>
      </c>
      <c r="G1417" t="s">
        <v>3714</v>
      </c>
      <c r="H1417" t="s">
        <v>14</v>
      </c>
      <c r="I1417" s="26">
        <v>42615</v>
      </c>
    </row>
    <row r="1418" spans="1:9" x14ac:dyDescent="0.2">
      <c r="A1418">
        <v>1405</v>
      </c>
      <c r="B1418" t="s">
        <v>4041</v>
      </c>
      <c r="C1418" t="s">
        <v>4042</v>
      </c>
      <c r="D1418" t="s">
        <v>4558</v>
      </c>
      <c r="E1418" t="s">
        <v>4043</v>
      </c>
      <c r="F1418">
        <v>0.88</v>
      </c>
      <c r="G1418" t="s">
        <v>610</v>
      </c>
      <c r="H1418" t="s">
        <v>14</v>
      </c>
      <c r="I1418" s="26"/>
    </row>
    <row r="1419" spans="1:9" x14ac:dyDescent="0.2">
      <c r="A1419">
        <v>1406</v>
      </c>
      <c r="B1419" t="s">
        <v>4044</v>
      </c>
      <c r="C1419" t="s">
        <v>4045</v>
      </c>
      <c r="D1419" t="s">
        <v>3973</v>
      </c>
      <c r="E1419" t="s">
        <v>4046</v>
      </c>
      <c r="F1419">
        <v>0.67500000000000004</v>
      </c>
      <c r="G1419" t="s">
        <v>3975</v>
      </c>
      <c r="H1419" t="s">
        <v>14</v>
      </c>
      <c r="I1419" s="26">
        <v>42523</v>
      </c>
    </row>
    <row r="1420" spans="1:9" x14ac:dyDescent="0.2">
      <c r="A1420">
        <v>1407</v>
      </c>
      <c r="B1420" t="s">
        <v>4047</v>
      </c>
      <c r="C1420" t="s">
        <v>4048</v>
      </c>
      <c r="D1420" t="s">
        <v>4558</v>
      </c>
      <c r="E1420" t="s">
        <v>4049</v>
      </c>
      <c r="F1420">
        <v>1.37</v>
      </c>
      <c r="G1420" t="s">
        <v>610</v>
      </c>
      <c r="H1420" t="s">
        <v>14</v>
      </c>
      <c r="I1420" s="26"/>
    </row>
    <row r="1421" spans="1:9" x14ac:dyDescent="0.2">
      <c r="A1421">
        <v>1408</v>
      </c>
      <c r="B1421" t="s">
        <v>4050</v>
      </c>
      <c r="C1421" t="s">
        <v>4051</v>
      </c>
      <c r="D1421" t="s">
        <v>4558</v>
      </c>
      <c r="E1421" t="s">
        <v>4052</v>
      </c>
      <c r="F1421">
        <v>1.55</v>
      </c>
      <c r="G1421" t="s">
        <v>610</v>
      </c>
      <c r="H1421" t="s">
        <v>14</v>
      </c>
      <c r="I1421" s="26"/>
    </row>
    <row r="1422" spans="1:9" x14ac:dyDescent="0.2">
      <c r="A1422">
        <v>1409</v>
      </c>
      <c r="B1422" t="s">
        <v>4053</v>
      </c>
      <c r="C1422" t="s">
        <v>4054</v>
      </c>
      <c r="D1422" t="s">
        <v>4558</v>
      </c>
      <c r="E1422" t="s">
        <v>4055</v>
      </c>
      <c r="F1422">
        <v>2.13</v>
      </c>
      <c r="G1422" t="s">
        <v>610</v>
      </c>
      <c r="H1422" t="s">
        <v>14</v>
      </c>
      <c r="I1422" s="26"/>
    </row>
    <row r="1423" spans="1:9" x14ac:dyDescent="0.2">
      <c r="A1423">
        <v>1410</v>
      </c>
      <c r="B1423" t="s">
        <v>4056</v>
      </c>
      <c r="C1423" t="s">
        <v>4057</v>
      </c>
      <c r="D1423" t="s">
        <v>4558</v>
      </c>
      <c r="E1423" t="s">
        <v>4058</v>
      </c>
      <c r="F1423">
        <v>0.35</v>
      </c>
      <c r="G1423" t="s">
        <v>610</v>
      </c>
      <c r="H1423" t="s">
        <v>14</v>
      </c>
      <c r="I1423" s="26"/>
    </row>
    <row r="1424" spans="1:9" x14ac:dyDescent="0.2">
      <c r="A1424">
        <v>1411</v>
      </c>
      <c r="B1424" t="s">
        <v>4059</v>
      </c>
      <c r="C1424" t="s">
        <v>4060</v>
      </c>
      <c r="D1424" t="s">
        <v>4558</v>
      </c>
      <c r="E1424" t="s">
        <v>4061</v>
      </c>
      <c r="F1424">
        <v>6.23</v>
      </c>
      <c r="G1424" t="s">
        <v>610</v>
      </c>
      <c r="H1424" t="s">
        <v>14</v>
      </c>
      <c r="I1424" s="26">
        <v>42726</v>
      </c>
    </row>
    <row r="1425" spans="1:9" x14ac:dyDescent="0.2">
      <c r="A1425">
        <v>1412</v>
      </c>
      <c r="B1425" t="s">
        <v>4062</v>
      </c>
      <c r="C1425" t="s">
        <v>4063</v>
      </c>
      <c r="D1425" t="s">
        <v>4558</v>
      </c>
      <c r="E1425" t="s">
        <v>4064</v>
      </c>
      <c r="G1425" t="s">
        <v>610</v>
      </c>
      <c r="H1425" t="s">
        <v>14</v>
      </c>
      <c r="I1425" s="26">
        <v>42726</v>
      </c>
    </row>
    <row r="1426" spans="1:9" x14ac:dyDescent="0.2">
      <c r="A1426">
        <v>1413</v>
      </c>
      <c r="B1426" t="s">
        <v>4065</v>
      </c>
      <c r="C1426" t="s">
        <v>4066</v>
      </c>
      <c r="D1426" t="s">
        <v>4558</v>
      </c>
      <c r="E1426" t="s">
        <v>4067</v>
      </c>
      <c r="G1426" t="s">
        <v>610</v>
      </c>
      <c r="H1426" t="s">
        <v>14</v>
      </c>
      <c r="I1426" s="26">
        <v>42726</v>
      </c>
    </row>
    <row r="1427" spans="1:9" x14ac:dyDescent="0.2">
      <c r="A1427">
        <v>1414</v>
      </c>
      <c r="B1427" t="s">
        <v>4068</v>
      </c>
      <c r="C1427" t="s">
        <v>4069</v>
      </c>
      <c r="D1427" t="s">
        <v>4558</v>
      </c>
      <c r="E1427" t="s">
        <v>4070</v>
      </c>
      <c r="G1427" t="s">
        <v>610</v>
      </c>
      <c r="H1427" t="s">
        <v>14</v>
      </c>
      <c r="I1427" s="26">
        <v>42726</v>
      </c>
    </row>
    <row r="1428" spans="1:9" x14ac:dyDescent="0.2">
      <c r="A1428">
        <v>1415</v>
      </c>
      <c r="B1428" t="s">
        <v>4071</v>
      </c>
      <c r="C1428" t="s">
        <v>4072</v>
      </c>
      <c r="D1428" t="s">
        <v>4558</v>
      </c>
      <c r="E1428" t="s">
        <v>4073</v>
      </c>
      <c r="G1428" t="s">
        <v>610</v>
      </c>
      <c r="H1428" t="s">
        <v>14</v>
      </c>
      <c r="I1428" s="26">
        <v>42726</v>
      </c>
    </row>
    <row r="1429" spans="1:9" x14ac:dyDescent="0.2">
      <c r="A1429">
        <v>1416</v>
      </c>
      <c r="B1429" t="s">
        <v>4074</v>
      </c>
      <c r="C1429" t="s">
        <v>4075</v>
      </c>
      <c r="D1429" t="s">
        <v>4558</v>
      </c>
      <c r="E1429" t="s">
        <v>4076</v>
      </c>
      <c r="F1429">
        <v>6.1000000000000004E-3</v>
      </c>
      <c r="G1429" t="s">
        <v>610</v>
      </c>
      <c r="H1429" t="s">
        <v>14</v>
      </c>
      <c r="I1429" s="26"/>
    </row>
    <row r="1430" spans="1:9" x14ac:dyDescent="0.2">
      <c r="A1430">
        <v>1417</v>
      </c>
      <c r="B1430" t="s">
        <v>4077</v>
      </c>
      <c r="C1430" t="s">
        <v>4078</v>
      </c>
      <c r="D1430" t="s">
        <v>4558</v>
      </c>
      <c r="E1430" t="s">
        <v>4079</v>
      </c>
      <c r="G1430" t="s">
        <v>610</v>
      </c>
      <c r="H1430" t="s">
        <v>14</v>
      </c>
      <c r="I1430" s="26">
        <v>42726</v>
      </c>
    </row>
    <row r="1431" spans="1:9" x14ac:dyDescent="0.2">
      <c r="A1431">
        <v>1418</v>
      </c>
      <c r="B1431" t="s">
        <v>4080</v>
      </c>
      <c r="C1431" t="s">
        <v>4081</v>
      </c>
      <c r="D1431" t="s">
        <v>4558</v>
      </c>
      <c r="E1431" t="s">
        <v>4082</v>
      </c>
      <c r="F1431">
        <v>0</v>
      </c>
      <c r="G1431" t="s">
        <v>610</v>
      </c>
      <c r="H1431" t="s">
        <v>14</v>
      </c>
      <c r="I1431" s="26"/>
    </row>
    <row r="1432" spans="1:9" x14ac:dyDescent="0.2">
      <c r="A1432">
        <v>1419</v>
      </c>
      <c r="B1432" t="s">
        <v>4083</v>
      </c>
      <c r="C1432" t="s">
        <v>4084</v>
      </c>
      <c r="D1432" t="s">
        <v>816</v>
      </c>
      <c r="E1432" t="s">
        <v>4444</v>
      </c>
      <c r="F1432">
        <v>22</v>
      </c>
      <c r="G1432" t="s">
        <v>818</v>
      </c>
      <c r="H1432" t="s">
        <v>14</v>
      </c>
      <c r="I1432" s="26">
        <v>43229</v>
      </c>
    </row>
    <row r="1433" spans="1:9" x14ac:dyDescent="0.2">
      <c r="A1433">
        <v>1420</v>
      </c>
      <c r="B1433" t="s">
        <v>4085</v>
      </c>
      <c r="C1433" t="s">
        <v>4086</v>
      </c>
      <c r="D1433" t="s">
        <v>816</v>
      </c>
      <c r="E1433" t="s">
        <v>4087</v>
      </c>
      <c r="F1433">
        <v>31.86</v>
      </c>
      <c r="G1433" t="s">
        <v>818</v>
      </c>
      <c r="H1433" t="s">
        <v>14</v>
      </c>
      <c r="I1433" s="26">
        <v>43215</v>
      </c>
    </row>
    <row r="1434" spans="1:9" x14ac:dyDescent="0.2">
      <c r="A1434">
        <v>1421</v>
      </c>
      <c r="B1434" t="s">
        <v>4088</v>
      </c>
      <c r="C1434" t="s">
        <v>4445</v>
      </c>
      <c r="D1434" t="s">
        <v>573</v>
      </c>
      <c r="E1434" t="s">
        <v>4089</v>
      </c>
      <c r="F1434">
        <v>31</v>
      </c>
      <c r="G1434" t="s">
        <v>574</v>
      </c>
      <c r="H1434" t="s">
        <v>14</v>
      </c>
      <c r="I1434" s="26"/>
    </row>
    <row r="1435" spans="1:9" x14ac:dyDescent="0.2">
      <c r="A1435">
        <v>1422</v>
      </c>
      <c r="B1435" t="s">
        <v>4090</v>
      </c>
      <c r="C1435" t="s">
        <v>4091</v>
      </c>
      <c r="D1435" t="s">
        <v>816</v>
      </c>
      <c r="E1435" t="s">
        <v>4446</v>
      </c>
      <c r="F1435">
        <v>33.68</v>
      </c>
      <c r="G1435" t="s">
        <v>818</v>
      </c>
      <c r="H1435" t="s">
        <v>14</v>
      </c>
      <c r="I1435" s="26">
        <v>43229</v>
      </c>
    </row>
    <row r="1436" spans="1:9" x14ac:dyDescent="0.2">
      <c r="A1436">
        <v>1423</v>
      </c>
      <c r="B1436" t="s">
        <v>4092</v>
      </c>
      <c r="C1436" t="s">
        <v>4093</v>
      </c>
      <c r="D1436" t="s">
        <v>816</v>
      </c>
      <c r="E1436" t="s">
        <v>4447</v>
      </c>
      <c r="F1436">
        <v>37</v>
      </c>
      <c r="G1436" t="s">
        <v>818</v>
      </c>
      <c r="H1436" t="s">
        <v>14</v>
      </c>
      <c r="I1436" s="26">
        <v>43229</v>
      </c>
    </row>
    <row r="1437" spans="1:9" x14ac:dyDescent="0.2">
      <c r="A1437">
        <v>1424</v>
      </c>
      <c r="B1437" t="s">
        <v>4094</v>
      </c>
      <c r="C1437" t="s">
        <v>4095</v>
      </c>
      <c r="D1437" t="s">
        <v>816</v>
      </c>
      <c r="E1437" t="s">
        <v>4448</v>
      </c>
      <c r="F1437">
        <v>43</v>
      </c>
      <c r="G1437" t="s">
        <v>818</v>
      </c>
      <c r="H1437" t="s">
        <v>14</v>
      </c>
      <c r="I1437" s="26">
        <v>43229</v>
      </c>
    </row>
    <row r="1438" spans="1:9" x14ac:dyDescent="0.2">
      <c r="A1438">
        <v>1425</v>
      </c>
      <c r="B1438" t="s">
        <v>4096</v>
      </c>
      <c r="C1438" t="s">
        <v>4097</v>
      </c>
      <c r="D1438" t="s">
        <v>816</v>
      </c>
      <c r="E1438" t="s">
        <v>4449</v>
      </c>
      <c r="F1438">
        <v>50.06</v>
      </c>
      <c r="G1438" t="s">
        <v>818</v>
      </c>
      <c r="H1438" t="s">
        <v>14</v>
      </c>
      <c r="I1438" s="26">
        <v>43229</v>
      </c>
    </row>
    <row r="1439" spans="1:9" x14ac:dyDescent="0.2">
      <c r="A1439">
        <v>1426</v>
      </c>
      <c r="B1439" t="s">
        <v>4098</v>
      </c>
      <c r="C1439" t="s">
        <v>4099</v>
      </c>
      <c r="D1439" t="s">
        <v>4100</v>
      </c>
      <c r="E1439" t="s">
        <v>4098</v>
      </c>
      <c r="F1439">
        <v>8.5500000000000007</v>
      </c>
      <c r="G1439" t="s">
        <v>4101</v>
      </c>
      <c r="H1439" t="s">
        <v>14</v>
      </c>
      <c r="I1439" s="26">
        <v>42615</v>
      </c>
    </row>
    <row r="1440" spans="1:9" x14ac:dyDescent="0.2">
      <c r="A1440">
        <v>1427</v>
      </c>
      <c r="B1440" t="s">
        <v>4102</v>
      </c>
      <c r="C1440" t="s">
        <v>4103</v>
      </c>
      <c r="D1440" t="s">
        <v>1708</v>
      </c>
      <c r="E1440" t="s">
        <v>4104</v>
      </c>
      <c r="F1440">
        <v>3.06</v>
      </c>
      <c r="G1440" t="s">
        <v>1710</v>
      </c>
      <c r="H1440" t="s">
        <v>14</v>
      </c>
      <c r="I1440" s="26">
        <v>42523</v>
      </c>
    </row>
    <row r="1441" spans="1:9" x14ac:dyDescent="0.2">
      <c r="A1441">
        <v>1428</v>
      </c>
      <c r="B1441" t="s">
        <v>4105</v>
      </c>
      <c r="C1441" t="s">
        <v>4106</v>
      </c>
      <c r="D1441" t="s">
        <v>4107</v>
      </c>
      <c r="E1441" t="s">
        <v>4108</v>
      </c>
      <c r="F1441">
        <v>0.19750000000000001</v>
      </c>
      <c r="G1441" t="s">
        <v>4109</v>
      </c>
      <c r="H1441" t="s">
        <v>14</v>
      </c>
      <c r="I1441" s="26"/>
    </row>
    <row r="1442" spans="1:9" x14ac:dyDescent="0.2">
      <c r="A1442">
        <v>1429</v>
      </c>
      <c r="B1442" t="s">
        <v>4110</v>
      </c>
      <c r="C1442" t="s">
        <v>4111</v>
      </c>
      <c r="D1442" t="s">
        <v>4107</v>
      </c>
      <c r="E1442" t="s">
        <v>4112</v>
      </c>
      <c r="F1442">
        <v>0.44</v>
      </c>
      <c r="G1442" t="s">
        <v>4109</v>
      </c>
      <c r="H1442" t="s">
        <v>14</v>
      </c>
      <c r="I1442" s="26">
        <v>42307</v>
      </c>
    </row>
    <row r="1443" spans="1:9" x14ac:dyDescent="0.2">
      <c r="A1443">
        <v>1430</v>
      </c>
      <c r="B1443" t="s">
        <v>4113</v>
      </c>
      <c r="C1443" t="s">
        <v>4114</v>
      </c>
      <c r="D1443" t="s">
        <v>40</v>
      </c>
      <c r="E1443" t="s">
        <v>4115</v>
      </c>
      <c r="F1443">
        <v>0.84</v>
      </c>
      <c r="G1443" t="s">
        <v>42</v>
      </c>
      <c r="H1443" t="s">
        <v>14</v>
      </c>
      <c r="I1443" s="26"/>
    </row>
    <row r="1444" spans="1:9" x14ac:dyDescent="0.2">
      <c r="A1444">
        <v>1431</v>
      </c>
      <c r="B1444" t="s">
        <v>4116</v>
      </c>
      <c r="C1444" t="s">
        <v>4117</v>
      </c>
      <c r="D1444" t="s">
        <v>4118</v>
      </c>
      <c r="E1444" t="s">
        <v>4119</v>
      </c>
      <c r="F1444">
        <v>16.419599999999999</v>
      </c>
      <c r="G1444" t="s">
        <v>4120</v>
      </c>
      <c r="H1444" t="s">
        <v>14</v>
      </c>
      <c r="I1444" s="26">
        <v>42307</v>
      </c>
    </row>
    <row r="1445" spans="1:9" x14ac:dyDescent="0.2">
      <c r="A1445">
        <v>1432</v>
      </c>
      <c r="B1445" t="s">
        <v>4121</v>
      </c>
      <c r="C1445" t="s">
        <v>4122</v>
      </c>
      <c r="D1445" t="s">
        <v>1206</v>
      </c>
      <c r="E1445" t="s">
        <v>4123</v>
      </c>
      <c r="F1445">
        <v>18.32</v>
      </c>
      <c r="G1445" t="s">
        <v>1208</v>
      </c>
      <c r="H1445" t="s">
        <v>14</v>
      </c>
      <c r="I1445" s="26">
        <v>42615</v>
      </c>
    </row>
    <row r="1446" spans="1:9" x14ac:dyDescent="0.2">
      <c r="A1446">
        <v>1433</v>
      </c>
      <c r="B1446" t="s">
        <v>4124</v>
      </c>
      <c r="C1446" t="s">
        <v>4125</v>
      </c>
      <c r="D1446" t="s">
        <v>3973</v>
      </c>
      <c r="E1446" t="s">
        <v>4126</v>
      </c>
      <c r="F1446">
        <v>0.89300000000000002</v>
      </c>
      <c r="G1446" t="s">
        <v>3975</v>
      </c>
      <c r="H1446" t="s">
        <v>14</v>
      </c>
      <c r="I1446" s="26">
        <v>43217</v>
      </c>
    </row>
    <row r="1447" spans="1:9" x14ac:dyDescent="0.2">
      <c r="A1447">
        <v>1434</v>
      </c>
      <c r="B1447" t="s">
        <v>4127</v>
      </c>
      <c r="C1447" t="s">
        <v>4128</v>
      </c>
      <c r="D1447" t="s">
        <v>3973</v>
      </c>
      <c r="E1447" t="s">
        <v>4129</v>
      </c>
      <c r="F1447">
        <v>0.97499999999999998</v>
      </c>
      <c r="G1447" t="s">
        <v>3975</v>
      </c>
      <c r="H1447" t="s">
        <v>14</v>
      </c>
      <c r="I1447" s="26">
        <v>43217</v>
      </c>
    </row>
    <row r="1448" spans="1:9" x14ac:dyDescent="0.2">
      <c r="A1448">
        <v>1435</v>
      </c>
      <c r="B1448" t="s">
        <v>4130</v>
      </c>
      <c r="C1448" t="s">
        <v>4131</v>
      </c>
      <c r="D1448" t="s">
        <v>1206</v>
      </c>
      <c r="E1448" t="s">
        <v>4132</v>
      </c>
      <c r="F1448">
        <v>2.46</v>
      </c>
      <c r="G1448" t="s">
        <v>1208</v>
      </c>
      <c r="H1448" t="s">
        <v>14</v>
      </c>
      <c r="I1448" s="26">
        <v>42677</v>
      </c>
    </row>
    <row r="1449" spans="1:9" x14ac:dyDescent="0.2">
      <c r="A1449">
        <v>1436</v>
      </c>
      <c r="B1449" t="s">
        <v>4133</v>
      </c>
      <c r="C1449" t="s">
        <v>4134</v>
      </c>
      <c r="D1449" t="s">
        <v>3712</v>
      </c>
      <c r="E1449" t="s">
        <v>4135</v>
      </c>
      <c r="F1449">
        <v>0.92149999999999999</v>
      </c>
      <c r="G1449" t="s">
        <v>3714</v>
      </c>
      <c r="H1449" t="s">
        <v>14</v>
      </c>
      <c r="I1449" s="26">
        <v>43217</v>
      </c>
    </row>
    <row r="1450" spans="1:9" x14ac:dyDescent="0.2">
      <c r="A1450">
        <v>1437</v>
      </c>
      <c r="B1450" t="s">
        <v>4136</v>
      </c>
      <c r="C1450" t="s">
        <v>4137</v>
      </c>
      <c r="D1450" t="s">
        <v>3712</v>
      </c>
      <c r="E1450" t="s">
        <v>4138</v>
      </c>
      <c r="F1450">
        <v>0.9405</v>
      </c>
      <c r="G1450" t="s">
        <v>3714</v>
      </c>
      <c r="H1450" t="s">
        <v>14</v>
      </c>
      <c r="I1450" s="26">
        <v>43217</v>
      </c>
    </row>
    <row r="1451" spans="1:9" x14ac:dyDescent="0.2">
      <c r="A1451">
        <v>1438</v>
      </c>
      <c r="B1451" t="s">
        <v>4139</v>
      </c>
      <c r="C1451" t="s">
        <v>4140</v>
      </c>
      <c r="D1451" t="s">
        <v>3712</v>
      </c>
      <c r="E1451" t="s">
        <v>4141</v>
      </c>
      <c r="F1451">
        <v>1.56</v>
      </c>
      <c r="G1451" t="s">
        <v>3714</v>
      </c>
      <c r="H1451" t="s">
        <v>14</v>
      </c>
      <c r="I1451" s="26">
        <v>42615</v>
      </c>
    </row>
    <row r="1452" spans="1:9" x14ac:dyDescent="0.2">
      <c r="A1452">
        <v>1439</v>
      </c>
      <c r="B1452" t="s">
        <v>4142</v>
      </c>
      <c r="C1452" t="s">
        <v>4143</v>
      </c>
      <c r="D1452" t="s">
        <v>3712</v>
      </c>
      <c r="E1452" t="s">
        <v>4144</v>
      </c>
      <c r="F1452">
        <v>0.55100000000000005</v>
      </c>
      <c r="G1452" t="s">
        <v>3714</v>
      </c>
      <c r="H1452" t="s">
        <v>14</v>
      </c>
      <c r="I1452" s="26">
        <v>42615</v>
      </c>
    </row>
    <row r="1453" spans="1:9" x14ac:dyDescent="0.2">
      <c r="A1453">
        <v>1440</v>
      </c>
      <c r="B1453" t="s">
        <v>4145</v>
      </c>
      <c r="C1453" t="s">
        <v>4146</v>
      </c>
      <c r="D1453" t="s">
        <v>4118</v>
      </c>
      <c r="E1453" t="s">
        <v>4147</v>
      </c>
      <c r="F1453">
        <v>1.708</v>
      </c>
      <c r="G1453" t="s">
        <v>4120</v>
      </c>
      <c r="H1453" t="s">
        <v>14</v>
      </c>
      <c r="I1453" s="26">
        <v>42551</v>
      </c>
    </row>
    <row r="1454" spans="1:9" x14ac:dyDescent="0.2">
      <c r="A1454">
        <v>1441</v>
      </c>
      <c r="B1454" t="s">
        <v>4148</v>
      </c>
      <c r="C1454" t="s">
        <v>4149</v>
      </c>
      <c r="D1454" t="s">
        <v>3903</v>
      </c>
      <c r="E1454" t="s">
        <v>4150</v>
      </c>
      <c r="F1454">
        <v>7.1999999999999995E-2</v>
      </c>
      <c r="G1454" t="s">
        <v>3905</v>
      </c>
      <c r="H1454" t="s">
        <v>14</v>
      </c>
      <c r="I1454" s="26">
        <v>43171</v>
      </c>
    </row>
    <row r="1455" spans="1:9" x14ac:dyDescent="0.2">
      <c r="A1455">
        <v>1442</v>
      </c>
      <c r="B1455" t="s">
        <v>4151</v>
      </c>
      <c r="C1455" t="s">
        <v>4152</v>
      </c>
      <c r="D1455" t="s">
        <v>3903</v>
      </c>
      <c r="E1455" t="s">
        <v>4153</v>
      </c>
      <c r="F1455">
        <v>0.158</v>
      </c>
      <c r="G1455" t="s">
        <v>3905</v>
      </c>
      <c r="H1455" t="s">
        <v>14</v>
      </c>
      <c r="I1455" s="26">
        <v>43217</v>
      </c>
    </row>
    <row r="1456" spans="1:9" x14ac:dyDescent="0.2">
      <c r="A1456">
        <v>1443</v>
      </c>
      <c r="B1456" t="s">
        <v>4154</v>
      </c>
      <c r="C1456" t="s">
        <v>4155</v>
      </c>
      <c r="D1456" t="s">
        <v>1206</v>
      </c>
      <c r="E1456" t="s">
        <v>4156</v>
      </c>
      <c r="F1456">
        <v>0.1724</v>
      </c>
      <c r="G1456" t="s">
        <v>1208</v>
      </c>
      <c r="H1456" t="s">
        <v>14</v>
      </c>
      <c r="I1456" s="26">
        <v>43217</v>
      </c>
    </row>
    <row r="1457" spans="1:9" x14ac:dyDescent="0.2">
      <c r="A1457">
        <v>1444</v>
      </c>
      <c r="B1457" t="s">
        <v>4157</v>
      </c>
      <c r="C1457" t="s">
        <v>4158</v>
      </c>
      <c r="D1457" t="s">
        <v>706</v>
      </c>
      <c r="E1457" t="s">
        <v>4159</v>
      </c>
      <c r="F1457">
        <v>36.6</v>
      </c>
      <c r="G1457" t="s">
        <v>708</v>
      </c>
      <c r="H1457" t="s">
        <v>14</v>
      </c>
      <c r="I1457" s="26">
        <v>42305</v>
      </c>
    </row>
    <row r="1458" spans="1:9" x14ac:dyDescent="0.2">
      <c r="A1458">
        <v>1445</v>
      </c>
      <c r="B1458" t="s">
        <v>4160</v>
      </c>
      <c r="C1458" t="s">
        <v>4161</v>
      </c>
      <c r="D1458" t="s">
        <v>3712</v>
      </c>
      <c r="E1458" t="s">
        <v>4162</v>
      </c>
      <c r="F1458">
        <v>20.838999999999999</v>
      </c>
      <c r="G1458" t="s">
        <v>3714</v>
      </c>
      <c r="H1458" t="s">
        <v>14</v>
      </c>
      <c r="I1458" s="26">
        <v>42615</v>
      </c>
    </row>
    <row r="1459" spans="1:9" x14ac:dyDescent="0.2">
      <c r="A1459">
        <v>1446</v>
      </c>
      <c r="B1459" t="s">
        <v>4163</v>
      </c>
      <c r="C1459" t="s">
        <v>4164</v>
      </c>
      <c r="D1459" t="s">
        <v>3712</v>
      </c>
      <c r="E1459" t="s">
        <v>4165</v>
      </c>
      <c r="F1459">
        <v>0.10199999999999999</v>
      </c>
      <c r="G1459" t="s">
        <v>3714</v>
      </c>
      <c r="H1459" t="s">
        <v>14</v>
      </c>
      <c r="I1459" s="26">
        <v>42615</v>
      </c>
    </row>
    <row r="1460" spans="1:9" x14ac:dyDescent="0.2">
      <c r="A1460">
        <v>1447</v>
      </c>
      <c r="B1460" t="s">
        <v>4166</v>
      </c>
      <c r="C1460" t="s">
        <v>4167</v>
      </c>
      <c r="D1460" t="s">
        <v>4168</v>
      </c>
      <c r="E1460" t="s">
        <v>4166</v>
      </c>
      <c r="F1460">
        <v>9.85</v>
      </c>
      <c r="G1460" t="s">
        <v>4169</v>
      </c>
      <c r="H1460" t="s">
        <v>14</v>
      </c>
      <c r="I1460" s="26">
        <v>43217</v>
      </c>
    </row>
    <row r="1461" spans="1:9" x14ac:dyDescent="0.2">
      <c r="A1461">
        <v>1448</v>
      </c>
      <c r="B1461" t="s">
        <v>4170</v>
      </c>
      <c r="C1461" t="s">
        <v>4171</v>
      </c>
      <c r="D1461" t="s">
        <v>4168</v>
      </c>
      <c r="E1461" t="s">
        <v>4170</v>
      </c>
      <c r="F1461">
        <v>4.1500000000000004</v>
      </c>
      <c r="G1461" t="s">
        <v>4169</v>
      </c>
      <c r="H1461" t="s">
        <v>14</v>
      </c>
      <c r="I1461" s="26">
        <v>43217</v>
      </c>
    </row>
    <row r="1462" spans="1:9" x14ac:dyDescent="0.2">
      <c r="A1462">
        <v>1449</v>
      </c>
      <c r="B1462" t="s">
        <v>4172</v>
      </c>
      <c r="C1462" t="s">
        <v>4173</v>
      </c>
      <c r="D1462" t="s">
        <v>2103</v>
      </c>
      <c r="E1462" t="s">
        <v>4174</v>
      </c>
      <c r="F1462">
        <v>32.619999999999997</v>
      </c>
      <c r="G1462" t="s">
        <v>2105</v>
      </c>
      <c r="H1462" t="s">
        <v>4175</v>
      </c>
      <c r="I1462" s="26"/>
    </row>
    <row r="1463" spans="1:9" x14ac:dyDescent="0.2">
      <c r="A1463">
        <v>1450</v>
      </c>
      <c r="B1463" t="s">
        <v>4176</v>
      </c>
      <c r="C1463" t="s">
        <v>4177</v>
      </c>
      <c r="D1463" t="s">
        <v>2103</v>
      </c>
      <c r="E1463" t="s">
        <v>4178</v>
      </c>
      <c r="F1463">
        <v>34.5</v>
      </c>
      <c r="G1463" t="s">
        <v>2105</v>
      </c>
      <c r="H1463" t="s">
        <v>14</v>
      </c>
      <c r="I1463" s="26">
        <v>43217</v>
      </c>
    </row>
    <row r="1464" spans="1:9" x14ac:dyDescent="0.2">
      <c r="A1464">
        <v>1451</v>
      </c>
      <c r="B1464" t="s">
        <v>4179</v>
      </c>
      <c r="C1464" t="s">
        <v>4180</v>
      </c>
      <c r="D1464" t="s">
        <v>2103</v>
      </c>
      <c r="E1464" t="s">
        <v>4181</v>
      </c>
      <c r="F1464">
        <v>38.03</v>
      </c>
      <c r="G1464" t="s">
        <v>2105</v>
      </c>
      <c r="H1464" t="s">
        <v>14</v>
      </c>
      <c r="I1464" s="26">
        <v>43217</v>
      </c>
    </row>
    <row r="1465" spans="1:9" x14ac:dyDescent="0.2">
      <c r="A1465">
        <v>1452</v>
      </c>
      <c r="B1465" t="s">
        <v>4182</v>
      </c>
      <c r="C1465" t="s">
        <v>4183</v>
      </c>
      <c r="D1465" t="s">
        <v>3712</v>
      </c>
      <c r="E1465" t="s">
        <v>4184</v>
      </c>
      <c r="F1465">
        <v>61.405500000000004</v>
      </c>
      <c r="G1465" t="s">
        <v>3714</v>
      </c>
      <c r="H1465" t="s">
        <v>14</v>
      </c>
      <c r="I1465" s="26">
        <v>42615</v>
      </c>
    </row>
    <row r="1466" spans="1:9" x14ac:dyDescent="0.2">
      <c r="A1466">
        <v>1453</v>
      </c>
      <c r="B1466" t="s">
        <v>4185</v>
      </c>
      <c r="C1466" t="s">
        <v>4186</v>
      </c>
      <c r="D1466" t="s">
        <v>4187</v>
      </c>
      <c r="E1466" t="s">
        <v>4188</v>
      </c>
      <c r="F1466">
        <v>7.54</v>
      </c>
      <c r="G1466" t="s">
        <v>4189</v>
      </c>
      <c r="H1466" t="s">
        <v>14</v>
      </c>
      <c r="I1466" s="26">
        <v>43165</v>
      </c>
    </row>
    <row r="1467" spans="1:9" x14ac:dyDescent="0.2">
      <c r="A1467">
        <v>1454</v>
      </c>
      <c r="B1467" t="s">
        <v>4190</v>
      </c>
      <c r="C1467" t="s">
        <v>4191</v>
      </c>
      <c r="D1467" t="s">
        <v>3712</v>
      </c>
      <c r="E1467" t="s">
        <v>4192</v>
      </c>
      <c r="F1467">
        <v>1.62</v>
      </c>
      <c r="G1467" t="s">
        <v>3714</v>
      </c>
      <c r="H1467" t="s">
        <v>14</v>
      </c>
      <c r="I1467" s="26">
        <v>42615</v>
      </c>
    </row>
    <row r="1468" spans="1:9" x14ac:dyDescent="0.2">
      <c r="A1468">
        <v>1455</v>
      </c>
      <c r="B1468" t="s">
        <v>4193</v>
      </c>
      <c r="C1468" t="s">
        <v>4194</v>
      </c>
      <c r="D1468" t="s">
        <v>3712</v>
      </c>
      <c r="E1468" t="s">
        <v>4195</v>
      </c>
      <c r="F1468">
        <v>1.86</v>
      </c>
      <c r="G1468" t="s">
        <v>3714</v>
      </c>
      <c r="H1468" t="s">
        <v>14</v>
      </c>
      <c r="I1468" s="26">
        <v>42615</v>
      </c>
    </row>
    <row r="1469" spans="1:9" x14ac:dyDescent="0.2">
      <c r="A1469">
        <v>1456</v>
      </c>
      <c r="B1469" t="s">
        <v>4196</v>
      </c>
      <c r="C1469" t="s">
        <v>4197</v>
      </c>
      <c r="D1469" t="s">
        <v>3293</v>
      </c>
      <c r="E1469" t="s">
        <v>4198</v>
      </c>
      <c r="F1469">
        <v>8.7800000000000003E-2</v>
      </c>
      <c r="G1469" t="s">
        <v>3295</v>
      </c>
      <c r="H1469" t="s">
        <v>14</v>
      </c>
      <c r="I1469" s="26">
        <v>43217</v>
      </c>
    </row>
    <row r="1470" spans="1:9" x14ac:dyDescent="0.2">
      <c r="A1470">
        <v>1457</v>
      </c>
      <c r="B1470" t="s">
        <v>4199</v>
      </c>
      <c r="C1470" t="s">
        <v>4200</v>
      </c>
      <c r="D1470" t="s">
        <v>854</v>
      </c>
      <c r="E1470" t="s">
        <v>4201</v>
      </c>
      <c r="F1470">
        <v>0.2351</v>
      </c>
      <c r="G1470" t="s">
        <v>856</v>
      </c>
      <c r="H1470" t="s">
        <v>14</v>
      </c>
      <c r="I1470" s="26">
        <v>42551</v>
      </c>
    </row>
    <row r="1471" spans="1:9" x14ac:dyDescent="0.2">
      <c r="A1471">
        <v>1458</v>
      </c>
      <c r="B1471" t="s">
        <v>4202</v>
      </c>
      <c r="C1471" t="s">
        <v>4203</v>
      </c>
      <c r="D1471" t="s">
        <v>3973</v>
      </c>
      <c r="E1471" t="s">
        <v>4204</v>
      </c>
      <c r="F1471">
        <v>0.55200000000000005</v>
      </c>
      <c r="G1471" t="s">
        <v>3975</v>
      </c>
      <c r="H1471" t="s">
        <v>14</v>
      </c>
      <c r="I1471" s="26">
        <v>43217</v>
      </c>
    </row>
    <row r="1472" spans="1:9" x14ac:dyDescent="0.2">
      <c r="A1472">
        <v>1459</v>
      </c>
      <c r="B1472" t="s">
        <v>4205</v>
      </c>
      <c r="C1472" t="s">
        <v>4206</v>
      </c>
      <c r="D1472" t="s">
        <v>3712</v>
      </c>
      <c r="E1472" t="s">
        <v>4207</v>
      </c>
      <c r="F1472">
        <v>1.3015000000000001</v>
      </c>
      <c r="G1472" t="s">
        <v>3714</v>
      </c>
      <c r="H1472" t="s">
        <v>14</v>
      </c>
      <c r="I1472" s="26">
        <v>43217</v>
      </c>
    </row>
    <row r="1473" spans="1:9" x14ac:dyDescent="0.2">
      <c r="A1473">
        <v>1460</v>
      </c>
      <c r="B1473" t="s">
        <v>4208</v>
      </c>
      <c r="C1473" t="s">
        <v>4209</v>
      </c>
      <c r="D1473" t="s">
        <v>1633</v>
      </c>
      <c r="E1473" t="s">
        <v>4210</v>
      </c>
      <c r="F1473">
        <v>0.28999999999999998</v>
      </c>
      <c r="G1473" t="s">
        <v>1635</v>
      </c>
      <c r="H1473" t="s">
        <v>14</v>
      </c>
      <c r="I1473" s="26">
        <v>42677</v>
      </c>
    </row>
    <row r="1474" spans="1:9" x14ac:dyDescent="0.2">
      <c r="A1474">
        <v>1461</v>
      </c>
      <c r="B1474" t="s">
        <v>4211</v>
      </c>
      <c r="C1474" t="s">
        <v>4212</v>
      </c>
      <c r="D1474" t="s">
        <v>1779</v>
      </c>
      <c r="E1474" t="s">
        <v>4213</v>
      </c>
      <c r="F1474">
        <v>9.7100000000000006E-2</v>
      </c>
      <c r="G1474" t="s">
        <v>1781</v>
      </c>
      <c r="H1474" t="s">
        <v>14</v>
      </c>
      <c r="I1474" s="26">
        <v>43217</v>
      </c>
    </row>
    <row r="1475" spans="1:9" x14ac:dyDescent="0.2">
      <c r="A1475">
        <v>1462</v>
      </c>
      <c r="B1475" t="s">
        <v>4214</v>
      </c>
      <c r="C1475" t="s">
        <v>4215</v>
      </c>
      <c r="D1475" t="s">
        <v>1779</v>
      </c>
      <c r="E1475" t="s">
        <v>4216</v>
      </c>
      <c r="F1475">
        <v>0.1565</v>
      </c>
      <c r="G1475" t="s">
        <v>1781</v>
      </c>
      <c r="H1475" t="s">
        <v>14</v>
      </c>
      <c r="I1475" s="26">
        <v>42615</v>
      </c>
    </row>
    <row r="1476" spans="1:9" x14ac:dyDescent="0.2">
      <c r="A1476">
        <v>1463</v>
      </c>
      <c r="B1476" t="s">
        <v>4217</v>
      </c>
      <c r="C1476" t="s">
        <v>4218</v>
      </c>
      <c r="D1476" t="s">
        <v>3973</v>
      </c>
      <c r="E1476" t="s">
        <v>4219</v>
      </c>
      <c r="F1476">
        <v>2.0699999999999998</v>
      </c>
      <c r="G1476" t="s">
        <v>3975</v>
      </c>
      <c r="H1476" t="s">
        <v>14</v>
      </c>
      <c r="I1476" s="26">
        <v>43217</v>
      </c>
    </row>
    <row r="1477" spans="1:9" x14ac:dyDescent="0.2">
      <c r="A1477">
        <v>1464</v>
      </c>
      <c r="B1477" t="s">
        <v>4220</v>
      </c>
      <c r="C1477" t="s">
        <v>4221</v>
      </c>
      <c r="D1477" t="s">
        <v>3973</v>
      </c>
      <c r="E1477" t="s">
        <v>4222</v>
      </c>
      <c r="F1477">
        <v>1.76</v>
      </c>
      <c r="G1477" t="s">
        <v>3975</v>
      </c>
      <c r="H1477" t="s">
        <v>14</v>
      </c>
      <c r="I1477" s="26">
        <v>43217</v>
      </c>
    </row>
    <row r="1478" spans="1:9" x14ac:dyDescent="0.2">
      <c r="A1478">
        <v>1465</v>
      </c>
      <c r="B1478" t="s">
        <v>4223</v>
      </c>
      <c r="C1478" t="s">
        <v>4224</v>
      </c>
      <c r="D1478" t="s">
        <v>1091</v>
      </c>
      <c r="E1478" t="s">
        <v>4225</v>
      </c>
      <c r="F1478">
        <v>9.75</v>
      </c>
      <c r="G1478" t="s">
        <v>1093</v>
      </c>
      <c r="H1478" t="s">
        <v>14</v>
      </c>
      <c r="I1478" s="26">
        <v>43217</v>
      </c>
    </row>
    <row r="1479" spans="1:9" x14ac:dyDescent="0.2">
      <c r="A1479">
        <v>1466</v>
      </c>
      <c r="B1479" t="s">
        <v>4226</v>
      </c>
      <c r="C1479" t="s">
        <v>4227</v>
      </c>
      <c r="D1479" t="s">
        <v>2177</v>
      </c>
      <c r="E1479" t="s">
        <v>4228</v>
      </c>
      <c r="F1479">
        <v>367</v>
      </c>
      <c r="G1479" t="s">
        <v>2179</v>
      </c>
      <c r="H1479" t="s">
        <v>14</v>
      </c>
      <c r="I1479" s="26">
        <v>42677</v>
      </c>
    </row>
    <row r="1480" spans="1:9" x14ac:dyDescent="0.2">
      <c r="A1480">
        <v>1467</v>
      </c>
      <c r="B1480" t="s">
        <v>4229</v>
      </c>
      <c r="C1480" t="s">
        <v>4230</v>
      </c>
      <c r="D1480" t="s">
        <v>4231</v>
      </c>
      <c r="E1480" t="s">
        <v>4232</v>
      </c>
      <c r="F1480">
        <v>6.69</v>
      </c>
      <c r="G1480" t="s">
        <v>4233</v>
      </c>
      <c r="H1480" t="s">
        <v>14</v>
      </c>
      <c r="I1480" s="26">
        <v>43217</v>
      </c>
    </row>
    <row r="1481" spans="1:9" x14ac:dyDescent="0.2">
      <c r="A1481">
        <v>1468</v>
      </c>
      <c r="B1481" t="s">
        <v>4234</v>
      </c>
      <c r="C1481" t="s">
        <v>4235</v>
      </c>
      <c r="D1481" t="s">
        <v>4236</v>
      </c>
      <c r="E1481" t="s">
        <v>4237</v>
      </c>
      <c r="F1481">
        <v>2.1514000000000002</v>
      </c>
      <c r="G1481" t="s">
        <v>4238</v>
      </c>
      <c r="H1481" t="s">
        <v>14</v>
      </c>
      <c r="I1481" s="26">
        <v>42615</v>
      </c>
    </row>
    <row r="1482" spans="1:9" x14ac:dyDescent="0.2">
      <c r="A1482">
        <v>1469</v>
      </c>
      <c r="B1482" t="s">
        <v>4239</v>
      </c>
      <c r="C1482" t="s">
        <v>4240</v>
      </c>
      <c r="D1482" t="s">
        <v>4241</v>
      </c>
      <c r="E1482" t="s">
        <v>4242</v>
      </c>
      <c r="F1482">
        <v>14.95</v>
      </c>
      <c r="G1482" t="s">
        <v>4243</v>
      </c>
      <c r="H1482" t="s">
        <v>14</v>
      </c>
      <c r="I1482" s="26">
        <v>42551</v>
      </c>
    </row>
    <row r="1483" spans="1:9" x14ac:dyDescent="0.2">
      <c r="A1483">
        <v>1470</v>
      </c>
      <c r="B1483" t="s">
        <v>4244</v>
      </c>
      <c r="C1483" t="s">
        <v>4245</v>
      </c>
      <c r="D1483" t="s">
        <v>26</v>
      </c>
      <c r="E1483" t="s">
        <v>4246</v>
      </c>
      <c r="F1483">
        <v>7.21</v>
      </c>
      <c r="G1483" t="s">
        <v>27</v>
      </c>
      <c r="H1483" t="s">
        <v>14</v>
      </c>
      <c r="I1483" s="26">
        <v>42305</v>
      </c>
    </row>
    <row r="1484" spans="1:9" x14ac:dyDescent="0.2">
      <c r="A1484">
        <v>1471</v>
      </c>
      <c r="B1484" t="s">
        <v>4247</v>
      </c>
      <c r="C1484" t="s">
        <v>4248</v>
      </c>
      <c r="D1484" t="s">
        <v>4249</v>
      </c>
      <c r="E1484" t="s">
        <v>4247</v>
      </c>
      <c r="F1484">
        <v>0.38</v>
      </c>
      <c r="G1484" t="s">
        <v>4250</v>
      </c>
      <c r="H1484" t="s">
        <v>14</v>
      </c>
      <c r="I1484" s="26">
        <v>43217</v>
      </c>
    </row>
    <row r="1485" spans="1:9" x14ac:dyDescent="0.2">
      <c r="A1485">
        <v>1472</v>
      </c>
      <c r="B1485" t="s">
        <v>4251</v>
      </c>
      <c r="C1485" t="s">
        <v>4252</v>
      </c>
      <c r="D1485" t="s">
        <v>4249</v>
      </c>
      <c r="E1485" t="s">
        <v>4251</v>
      </c>
      <c r="F1485">
        <v>0.6</v>
      </c>
      <c r="G1485" t="s">
        <v>4250</v>
      </c>
      <c r="H1485" t="s">
        <v>14</v>
      </c>
      <c r="I1485" s="26">
        <v>43217</v>
      </c>
    </row>
    <row r="1486" spans="1:9" x14ac:dyDescent="0.2">
      <c r="A1486">
        <v>1473</v>
      </c>
      <c r="B1486" t="s">
        <v>4253</v>
      </c>
      <c r="C1486" t="s">
        <v>4254</v>
      </c>
      <c r="D1486" t="s">
        <v>4249</v>
      </c>
      <c r="E1486" t="s">
        <v>4253</v>
      </c>
      <c r="F1486">
        <v>0.66</v>
      </c>
      <c r="G1486" t="s">
        <v>4250</v>
      </c>
      <c r="H1486" t="s">
        <v>14</v>
      </c>
      <c r="I1486" s="26">
        <v>43217</v>
      </c>
    </row>
    <row r="1487" spans="1:9" x14ac:dyDescent="0.2">
      <c r="A1487">
        <v>1474</v>
      </c>
      <c r="B1487" t="s">
        <v>4255</v>
      </c>
      <c r="C1487" t="s">
        <v>4256</v>
      </c>
      <c r="D1487" t="s">
        <v>4558</v>
      </c>
      <c r="E1487" t="s">
        <v>4257</v>
      </c>
      <c r="F1487">
        <v>7.8125</v>
      </c>
      <c r="G1487" t="s">
        <v>610</v>
      </c>
      <c r="H1487" t="s">
        <v>14</v>
      </c>
      <c r="I1487" s="26">
        <v>42933</v>
      </c>
    </row>
    <row r="1488" spans="1:9" x14ac:dyDescent="0.2">
      <c r="A1488">
        <v>1475</v>
      </c>
      <c r="B1488" t="s">
        <v>4258</v>
      </c>
      <c r="C1488" t="s">
        <v>4259</v>
      </c>
      <c r="D1488" t="s">
        <v>4260</v>
      </c>
      <c r="E1488" t="s">
        <v>4258</v>
      </c>
      <c r="F1488">
        <v>0.76</v>
      </c>
      <c r="G1488" t="s">
        <v>4261</v>
      </c>
      <c r="H1488" t="s">
        <v>14</v>
      </c>
      <c r="I1488" s="26">
        <v>42551</v>
      </c>
    </row>
    <row r="1489" spans="1:9" x14ac:dyDescent="0.2">
      <c r="A1489">
        <v>1476</v>
      </c>
      <c r="B1489" t="s">
        <v>4262</v>
      </c>
      <c r="C1489" t="s">
        <v>4263</v>
      </c>
      <c r="D1489" t="s">
        <v>4264</v>
      </c>
      <c r="E1489" t="s">
        <v>4265</v>
      </c>
      <c r="F1489">
        <v>2.4438</v>
      </c>
      <c r="G1489" t="s">
        <v>4266</v>
      </c>
      <c r="H1489" t="s">
        <v>14</v>
      </c>
      <c r="I1489" s="26">
        <v>42551</v>
      </c>
    </row>
    <row r="1490" spans="1:9" x14ac:dyDescent="0.2">
      <c r="A1490">
        <v>1477</v>
      </c>
      <c r="B1490" t="s">
        <v>4267</v>
      </c>
      <c r="C1490" t="s">
        <v>4268</v>
      </c>
      <c r="D1490" t="s">
        <v>508</v>
      </c>
      <c r="E1490" t="s">
        <v>4269</v>
      </c>
      <c r="F1490">
        <v>3.78</v>
      </c>
      <c r="G1490" t="s">
        <v>510</v>
      </c>
      <c r="H1490" t="s">
        <v>14</v>
      </c>
      <c r="I1490" s="26"/>
    </row>
    <row r="1491" spans="1:9" x14ac:dyDescent="0.2">
      <c r="A1491">
        <v>1478</v>
      </c>
      <c r="B1491" t="s">
        <v>4270</v>
      </c>
      <c r="C1491" t="s">
        <v>4271</v>
      </c>
      <c r="D1491" t="s">
        <v>4558</v>
      </c>
      <c r="E1491" t="s">
        <v>4272</v>
      </c>
      <c r="F1491">
        <v>4.7435999999999998</v>
      </c>
      <c r="G1491" t="s">
        <v>610</v>
      </c>
      <c r="H1491" t="s">
        <v>14</v>
      </c>
      <c r="I1491" s="26">
        <v>42551</v>
      </c>
    </row>
    <row r="1492" spans="1:9" x14ac:dyDescent="0.2">
      <c r="A1492">
        <v>1479</v>
      </c>
      <c r="B1492" t="s">
        <v>4273</v>
      </c>
      <c r="C1492" t="s">
        <v>4274</v>
      </c>
      <c r="D1492" t="s">
        <v>4558</v>
      </c>
      <c r="E1492" t="s">
        <v>4273</v>
      </c>
      <c r="F1492">
        <v>62.5</v>
      </c>
      <c r="G1492" t="s">
        <v>610</v>
      </c>
      <c r="H1492" t="s">
        <v>14</v>
      </c>
      <c r="I1492" s="26">
        <v>42933</v>
      </c>
    </row>
    <row r="1493" spans="1:9" x14ac:dyDescent="0.2">
      <c r="A1493">
        <v>1480</v>
      </c>
      <c r="B1493" t="s">
        <v>4275</v>
      </c>
      <c r="C1493" t="s">
        <v>4276</v>
      </c>
      <c r="D1493" t="s">
        <v>4558</v>
      </c>
      <c r="E1493" t="s">
        <v>4277</v>
      </c>
      <c r="F1493">
        <v>6</v>
      </c>
      <c r="G1493" t="s">
        <v>610</v>
      </c>
      <c r="H1493" t="s">
        <v>14</v>
      </c>
      <c r="I1493" s="26">
        <v>42933</v>
      </c>
    </row>
    <row r="1494" spans="1:9" x14ac:dyDescent="0.2">
      <c r="A1494">
        <v>1481</v>
      </c>
      <c r="B1494" t="s">
        <v>4278</v>
      </c>
      <c r="C1494" t="s">
        <v>4279</v>
      </c>
      <c r="D1494" t="s">
        <v>4280</v>
      </c>
      <c r="E1494" t="s">
        <v>4281</v>
      </c>
      <c r="F1494">
        <v>0.09</v>
      </c>
      <c r="G1494" t="s">
        <v>4282</v>
      </c>
      <c r="H1494" t="s">
        <v>14</v>
      </c>
      <c r="I1494" s="26">
        <v>42677</v>
      </c>
    </row>
    <row r="1495" spans="1:9" x14ac:dyDescent="0.2">
      <c r="A1495">
        <v>1482</v>
      </c>
      <c r="B1495" t="s">
        <v>4283</v>
      </c>
      <c r="C1495" t="s">
        <v>4284</v>
      </c>
      <c r="D1495" t="s">
        <v>4280</v>
      </c>
      <c r="E1495" t="s">
        <v>4285</v>
      </c>
      <c r="F1495">
        <v>1.23</v>
      </c>
      <c r="G1495" t="s">
        <v>4282</v>
      </c>
      <c r="H1495" t="s">
        <v>14</v>
      </c>
      <c r="I1495" s="26">
        <v>42677</v>
      </c>
    </row>
    <row r="1496" spans="1:9" x14ac:dyDescent="0.2">
      <c r="A1496">
        <v>1483</v>
      </c>
      <c r="B1496" t="s">
        <v>4286</v>
      </c>
      <c r="C1496" t="s">
        <v>4287</v>
      </c>
      <c r="D1496" t="s">
        <v>4280</v>
      </c>
      <c r="E1496" t="s">
        <v>4288</v>
      </c>
      <c r="F1496">
        <v>1.58</v>
      </c>
      <c r="G1496" t="s">
        <v>4282</v>
      </c>
      <c r="H1496" t="s">
        <v>14</v>
      </c>
      <c r="I1496" s="26">
        <v>42677</v>
      </c>
    </row>
    <row r="1497" spans="1:9" x14ac:dyDescent="0.2">
      <c r="A1497">
        <v>1484</v>
      </c>
      <c r="B1497" t="s">
        <v>4289</v>
      </c>
      <c r="C1497" t="s">
        <v>4290</v>
      </c>
      <c r="D1497" t="s">
        <v>4291</v>
      </c>
      <c r="E1497" t="s">
        <v>4292</v>
      </c>
      <c r="F1497">
        <v>1.6199999999999999E-2</v>
      </c>
      <c r="G1497" t="s">
        <v>4293</v>
      </c>
      <c r="H1497" t="s">
        <v>14</v>
      </c>
      <c r="I1497" s="26">
        <v>43217</v>
      </c>
    </row>
    <row r="1498" spans="1:9" x14ac:dyDescent="0.2">
      <c r="A1498">
        <v>1485</v>
      </c>
      <c r="B1498" t="s">
        <v>4294</v>
      </c>
      <c r="C1498" t="s">
        <v>4295</v>
      </c>
      <c r="D1498" t="s">
        <v>4291</v>
      </c>
      <c r="E1498" t="s">
        <v>4296</v>
      </c>
      <c r="F1498">
        <v>1.9699999999999999E-2</v>
      </c>
      <c r="G1498" t="s">
        <v>4293</v>
      </c>
      <c r="H1498" t="s">
        <v>14</v>
      </c>
      <c r="I1498" s="26">
        <v>43217</v>
      </c>
    </row>
    <row r="1499" spans="1:9" x14ac:dyDescent="0.2">
      <c r="A1499">
        <v>1486</v>
      </c>
      <c r="B1499" t="s">
        <v>4297</v>
      </c>
      <c r="C1499" t="s">
        <v>4298</v>
      </c>
      <c r="D1499" t="s">
        <v>4291</v>
      </c>
      <c r="E1499" t="s">
        <v>4299</v>
      </c>
      <c r="F1499">
        <v>3.6999999999999998E-2</v>
      </c>
      <c r="G1499" t="s">
        <v>4293</v>
      </c>
      <c r="H1499" t="s">
        <v>14</v>
      </c>
      <c r="I1499" s="26">
        <v>43217</v>
      </c>
    </row>
    <row r="1500" spans="1:9" x14ac:dyDescent="0.2">
      <c r="A1500">
        <v>1487</v>
      </c>
      <c r="B1500" t="s">
        <v>4300</v>
      </c>
      <c r="C1500" t="s">
        <v>4301</v>
      </c>
      <c r="D1500" t="s">
        <v>1206</v>
      </c>
      <c r="E1500" t="s">
        <v>4302</v>
      </c>
      <c r="F1500">
        <v>0.90800000000000003</v>
      </c>
      <c r="G1500" t="s">
        <v>1208</v>
      </c>
      <c r="H1500" t="s">
        <v>14</v>
      </c>
      <c r="I1500" s="26">
        <v>42933</v>
      </c>
    </row>
    <row r="1501" spans="1:9" x14ac:dyDescent="0.2">
      <c r="A1501">
        <v>1488</v>
      </c>
      <c r="B1501" t="s">
        <v>4303</v>
      </c>
      <c r="C1501" t="s">
        <v>4304</v>
      </c>
      <c r="D1501" t="s">
        <v>1206</v>
      </c>
      <c r="E1501" t="s">
        <v>4305</v>
      </c>
      <c r="F1501">
        <v>4.25</v>
      </c>
      <c r="G1501" t="s">
        <v>1208</v>
      </c>
      <c r="H1501" t="s">
        <v>14</v>
      </c>
      <c r="I1501" s="26">
        <v>42677</v>
      </c>
    </row>
    <row r="1502" spans="1:9" x14ac:dyDescent="0.2">
      <c r="A1502">
        <v>1489</v>
      </c>
      <c r="B1502" t="s">
        <v>4306</v>
      </c>
      <c r="C1502" t="s">
        <v>4307</v>
      </c>
      <c r="D1502" t="s">
        <v>415</v>
      </c>
      <c r="E1502" t="s">
        <v>4308</v>
      </c>
      <c r="F1502">
        <v>21.03</v>
      </c>
      <c r="G1502" t="s">
        <v>417</v>
      </c>
      <c r="H1502" t="s">
        <v>14</v>
      </c>
      <c r="I1502" s="26"/>
    </row>
    <row r="1503" spans="1:9" x14ac:dyDescent="0.2">
      <c r="A1503">
        <v>1490</v>
      </c>
      <c r="B1503" t="s">
        <v>4309</v>
      </c>
      <c r="C1503" t="s">
        <v>3936</v>
      </c>
      <c r="D1503" t="s">
        <v>4558</v>
      </c>
      <c r="E1503" t="s">
        <v>4309</v>
      </c>
      <c r="F1503">
        <v>0.1457</v>
      </c>
      <c r="G1503" t="s">
        <v>610</v>
      </c>
      <c r="H1503" t="s">
        <v>14</v>
      </c>
      <c r="I1503" s="26"/>
    </row>
    <row r="1504" spans="1:9" x14ac:dyDescent="0.2">
      <c r="A1504">
        <v>1491</v>
      </c>
      <c r="B1504" t="s">
        <v>4471</v>
      </c>
      <c r="C1504" t="s">
        <v>4472</v>
      </c>
      <c r="D1504" t="s">
        <v>26</v>
      </c>
      <c r="E1504" t="s">
        <v>14</v>
      </c>
      <c r="F1504">
        <v>10915.07</v>
      </c>
      <c r="G1504" t="s">
        <v>27</v>
      </c>
      <c r="H1504" t="s">
        <v>14</v>
      </c>
      <c r="I1504" s="26"/>
    </row>
    <row r="1505" spans="1:9" x14ac:dyDescent="0.2">
      <c r="A1505">
        <v>1492</v>
      </c>
      <c r="B1505" t="s">
        <v>4488</v>
      </c>
      <c r="C1505" t="s">
        <v>4489</v>
      </c>
      <c r="D1505" t="s">
        <v>26</v>
      </c>
      <c r="E1505" t="s">
        <v>14</v>
      </c>
      <c r="F1505">
        <v>15068.8</v>
      </c>
      <c r="G1505" t="s">
        <v>27</v>
      </c>
      <c r="H1505" t="s">
        <v>14</v>
      </c>
      <c r="I1505" s="26"/>
    </row>
    <row r="1506" spans="1:9" x14ac:dyDescent="0.2">
      <c r="A1506">
        <v>1493</v>
      </c>
      <c r="B1506" t="s">
        <v>4480</v>
      </c>
      <c r="C1506" t="s">
        <v>4481</v>
      </c>
      <c r="D1506" t="s">
        <v>26</v>
      </c>
      <c r="E1506" t="s">
        <v>14</v>
      </c>
      <c r="F1506">
        <v>16252.78</v>
      </c>
      <c r="G1506" t="s">
        <v>27</v>
      </c>
      <c r="H1506" t="s">
        <v>14</v>
      </c>
      <c r="I1506" s="26"/>
    </row>
    <row r="1507" spans="1:9" x14ac:dyDescent="0.2">
      <c r="A1507">
        <v>1494</v>
      </c>
      <c r="B1507" t="s">
        <v>4490</v>
      </c>
      <c r="C1507" t="s">
        <v>4491</v>
      </c>
      <c r="D1507" t="s">
        <v>26</v>
      </c>
      <c r="E1507" t="s">
        <v>14</v>
      </c>
      <c r="F1507">
        <v>15067.05</v>
      </c>
      <c r="G1507" t="s">
        <v>27</v>
      </c>
      <c r="H1507" t="s">
        <v>14</v>
      </c>
      <c r="I1507" s="26"/>
    </row>
    <row r="1508" spans="1:9" x14ac:dyDescent="0.2">
      <c r="A1508">
        <v>1495</v>
      </c>
      <c r="B1508" t="s">
        <v>4482</v>
      </c>
      <c r="C1508" t="s">
        <v>4483</v>
      </c>
      <c r="D1508" t="s">
        <v>26</v>
      </c>
      <c r="E1508" t="s">
        <v>14</v>
      </c>
      <c r="F1508">
        <v>16235.34</v>
      </c>
      <c r="G1508" t="s">
        <v>27</v>
      </c>
      <c r="H1508" t="s">
        <v>14</v>
      </c>
      <c r="I1508" s="26"/>
    </row>
    <row r="1509" spans="1:9" x14ac:dyDescent="0.2">
      <c r="A1509">
        <v>1496</v>
      </c>
      <c r="B1509" t="s">
        <v>4310</v>
      </c>
      <c r="C1509" t="s">
        <v>4311</v>
      </c>
      <c r="D1509" t="s">
        <v>26</v>
      </c>
      <c r="E1509" t="s">
        <v>4312</v>
      </c>
      <c r="F1509">
        <v>1197.1600000000001</v>
      </c>
      <c r="G1509" t="s">
        <v>27</v>
      </c>
      <c r="H1509" t="s">
        <v>14</v>
      </c>
      <c r="I1509" s="26">
        <v>43217</v>
      </c>
    </row>
    <row r="1510" spans="1:9" x14ac:dyDescent="0.2">
      <c r="A1510">
        <v>1497</v>
      </c>
      <c r="B1510" t="s">
        <v>4313</v>
      </c>
      <c r="C1510" t="s">
        <v>4314</v>
      </c>
      <c r="D1510" t="s">
        <v>26</v>
      </c>
      <c r="E1510" t="s">
        <v>4315</v>
      </c>
      <c r="F1510">
        <v>133.52000000000001</v>
      </c>
      <c r="G1510" t="s">
        <v>27</v>
      </c>
      <c r="H1510" t="s">
        <v>14</v>
      </c>
      <c r="I1510" s="26"/>
    </row>
    <row r="1511" spans="1:9" x14ac:dyDescent="0.2">
      <c r="A1511">
        <v>1498</v>
      </c>
      <c r="B1511" t="s">
        <v>4316</v>
      </c>
      <c r="C1511" t="s">
        <v>4317</v>
      </c>
      <c r="D1511" t="s">
        <v>26</v>
      </c>
      <c r="E1511" t="s">
        <v>4318</v>
      </c>
      <c r="F1511">
        <v>588.21</v>
      </c>
      <c r="G1511" t="s">
        <v>27</v>
      </c>
      <c r="H1511" t="s">
        <v>14</v>
      </c>
      <c r="I1511" s="26">
        <v>43217</v>
      </c>
    </row>
    <row r="1512" spans="1:9" x14ac:dyDescent="0.2">
      <c r="A1512">
        <v>1499</v>
      </c>
      <c r="B1512" t="s">
        <v>4319</v>
      </c>
      <c r="C1512" t="s">
        <v>4320</v>
      </c>
      <c r="D1512" t="s">
        <v>26</v>
      </c>
      <c r="E1512" t="s">
        <v>4321</v>
      </c>
      <c r="F1512">
        <v>1280.8399999999999</v>
      </c>
      <c r="G1512" t="s">
        <v>27</v>
      </c>
      <c r="H1512" t="s">
        <v>14</v>
      </c>
      <c r="I1512" s="26">
        <v>42726</v>
      </c>
    </row>
    <row r="1513" spans="1:9" x14ac:dyDescent="0.2">
      <c r="A1513">
        <v>1500</v>
      </c>
      <c r="B1513" t="s">
        <v>4322</v>
      </c>
      <c r="C1513" t="s">
        <v>4323</v>
      </c>
      <c r="D1513" t="s">
        <v>26</v>
      </c>
      <c r="E1513" t="s">
        <v>4324</v>
      </c>
      <c r="F1513">
        <v>149.4</v>
      </c>
      <c r="G1513" t="s">
        <v>27</v>
      </c>
      <c r="H1513" t="s">
        <v>14</v>
      </c>
      <c r="I1513" s="26">
        <v>42726</v>
      </c>
    </row>
    <row r="1514" spans="1:9" x14ac:dyDescent="0.2">
      <c r="A1514">
        <v>1501</v>
      </c>
      <c r="B1514" t="s">
        <v>4325</v>
      </c>
      <c r="C1514" t="s">
        <v>4326</v>
      </c>
      <c r="D1514" t="s">
        <v>26</v>
      </c>
      <c r="E1514" t="s">
        <v>4327</v>
      </c>
      <c r="F1514">
        <v>568.69000000000005</v>
      </c>
      <c r="G1514" t="s">
        <v>27</v>
      </c>
      <c r="H1514" t="s">
        <v>14</v>
      </c>
      <c r="I1514" s="26">
        <v>43217</v>
      </c>
    </row>
    <row r="1515" spans="1:9" x14ac:dyDescent="0.2">
      <c r="A1515">
        <v>1502</v>
      </c>
      <c r="B1515" t="s">
        <v>4328</v>
      </c>
      <c r="C1515" t="s">
        <v>4329</v>
      </c>
      <c r="D1515" t="s">
        <v>26</v>
      </c>
      <c r="E1515" t="s">
        <v>4328</v>
      </c>
      <c r="F1515">
        <v>1020.05</v>
      </c>
      <c r="G1515" t="s">
        <v>27</v>
      </c>
      <c r="H1515" t="s">
        <v>14</v>
      </c>
      <c r="I1515" s="26">
        <v>43217</v>
      </c>
    </row>
    <row r="1516" spans="1:9" x14ac:dyDescent="0.2">
      <c r="A1516">
        <v>1503</v>
      </c>
      <c r="B1516" t="s">
        <v>4330</v>
      </c>
      <c r="C1516" t="s">
        <v>4331</v>
      </c>
      <c r="D1516" t="s">
        <v>26</v>
      </c>
      <c r="E1516" t="s">
        <v>4330</v>
      </c>
      <c r="F1516">
        <v>1688.84</v>
      </c>
      <c r="G1516" t="s">
        <v>27</v>
      </c>
      <c r="H1516" t="s">
        <v>14</v>
      </c>
      <c r="I1516" s="26">
        <v>43217</v>
      </c>
    </row>
    <row r="1517" spans="1:9" x14ac:dyDescent="0.2">
      <c r="A1517">
        <v>1504</v>
      </c>
      <c r="B1517" t="s">
        <v>4332</v>
      </c>
      <c r="C1517" t="s">
        <v>4333</v>
      </c>
      <c r="D1517" t="s">
        <v>26</v>
      </c>
      <c r="E1517" t="s">
        <v>4332</v>
      </c>
      <c r="F1517">
        <v>2139.54</v>
      </c>
      <c r="G1517" t="s">
        <v>27</v>
      </c>
      <c r="H1517" t="s">
        <v>14</v>
      </c>
      <c r="I1517" s="26">
        <v>43217</v>
      </c>
    </row>
    <row r="1518" spans="1:9" x14ac:dyDescent="0.2">
      <c r="A1518">
        <v>1505</v>
      </c>
      <c r="B1518" t="s">
        <v>4334</v>
      </c>
      <c r="C1518" t="s">
        <v>4335</v>
      </c>
      <c r="D1518" t="s">
        <v>26</v>
      </c>
      <c r="E1518" t="s">
        <v>4334</v>
      </c>
      <c r="F1518">
        <v>2112.5700000000002</v>
      </c>
      <c r="G1518" t="s">
        <v>27</v>
      </c>
      <c r="H1518" t="s">
        <v>14</v>
      </c>
      <c r="I1518" s="26">
        <v>43217</v>
      </c>
    </row>
    <row r="1519" spans="1:9" x14ac:dyDescent="0.2">
      <c r="A1519">
        <v>1506</v>
      </c>
      <c r="B1519" t="s">
        <v>4336</v>
      </c>
      <c r="C1519" t="s">
        <v>4337</v>
      </c>
      <c r="D1519" t="s">
        <v>26</v>
      </c>
      <c r="E1519" t="s">
        <v>4336</v>
      </c>
      <c r="F1519">
        <v>172.37</v>
      </c>
      <c r="G1519" t="s">
        <v>27</v>
      </c>
      <c r="H1519" t="s">
        <v>14</v>
      </c>
      <c r="I1519" s="26">
        <v>43217</v>
      </c>
    </row>
    <row r="1520" spans="1:9" x14ac:dyDescent="0.2">
      <c r="A1520">
        <v>1507</v>
      </c>
      <c r="B1520" t="s">
        <v>4338</v>
      </c>
      <c r="C1520" t="s">
        <v>4339</v>
      </c>
      <c r="D1520" t="s">
        <v>26</v>
      </c>
      <c r="E1520" t="s">
        <v>4340</v>
      </c>
      <c r="F1520">
        <v>1</v>
      </c>
      <c r="G1520" t="s">
        <v>27</v>
      </c>
      <c r="H1520" t="s">
        <v>14</v>
      </c>
      <c r="I1520" s="26">
        <v>42726</v>
      </c>
    </row>
    <row r="1521" spans="1:9" x14ac:dyDescent="0.2">
      <c r="A1521">
        <v>1508</v>
      </c>
      <c r="B1521" t="s">
        <v>4341</v>
      </c>
      <c r="C1521" t="s">
        <v>4342</v>
      </c>
      <c r="D1521" t="s">
        <v>26</v>
      </c>
      <c r="E1521" t="s">
        <v>4343</v>
      </c>
      <c r="F1521">
        <v>958.41</v>
      </c>
      <c r="G1521" t="s">
        <v>27</v>
      </c>
      <c r="H1521" t="s">
        <v>14</v>
      </c>
      <c r="I1521" s="26">
        <v>43217</v>
      </c>
    </row>
    <row r="1522" spans="1:9" x14ac:dyDescent="0.2">
      <c r="A1522">
        <v>1509</v>
      </c>
      <c r="B1522" t="s">
        <v>4344</v>
      </c>
      <c r="C1522" t="s">
        <v>4345</v>
      </c>
      <c r="D1522" t="s">
        <v>26</v>
      </c>
      <c r="E1522" t="s">
        <v>4346</v>
      </c>
      <c r="F1522">
        <v>734.56</v>
      </c>
      <c r="G1522" t="s">
        <v>27</v>
      </c>
      <c r="H1522" t="s">
        <v>14</v>
      </c>
      <c r="I1522" s="26">
        <v>42726</v>
      </c>
    </row>
    <row r="1523" spans="1:9" x14ac:dyDescent="0.2">
      <c r="A1523">
        <v>1510</v>
      </c>
      <c r="B1523" t="s">
        <v>4347</v>
      </c>
      <c r="C1523" t="s">
        <v>4348</v>
      </c>
      <c r="D1523" t="s">
        <v>26</v>
      </c>
      <c r="E1523" t="s">
        <v>14</v>
      </c>
      <c r="F1523">
        <v>230.95</v>
      </c>
      <c r="G1523" t="s">
        <v>27</v>
      </c>
      <c r="H1523" t="s">
        <v>14</v>
      </c>
      <c r="I1523" s="26">
        <v>43222</v>
      </c>
    </row>
    <row r="1524" spans="1:9" x14ac:dyDescent="0.2">
      <c r="A1524">
        <v>1511</v>
      </c>
      <c r="B1524" t="s">
        <v>4349</v>
      </c>
      <c r="C1524" t="s">
        <v>4350</v>
      </c>
      <c r="D1524" t="s">
        <v>26</v>
      </c>
      <c r="E1524" t="s">
        <v>14</v>
      </c>
      <c r="F1524">
        <v>328.13</v>
      </c>
      <c r="G1524" t="s">
        <v>27</v>
      </c>
      <c r="H1524" t="s">
        <v>14</v>
      </c>
      <c r="I1524" s="26">
        <v>43222</v>
      </c>
    </row>
    <row r="1525" spans="1:9" x14ac:dyDescent="0.2">
      <c r="A1525">
        <v>1512</v>
      </c>
      <c r="B1525" t="s">
        <v>4351</v>
      </c>
      <c r="C1525" t="s">
        <v>4352</v>
      </c>
      <c r="D1525" t="s">
        <v>26</v>
      </c>
      <c r="E1525" t="s">
        <v>14</v>
      </c>
      <c r="F1525">
        <v>355.5</v>
      </c>
      <c r="G1525" t="s">
        <v>27</v>
      </c>
      <c r="H1525" t="s">
        <v>14</v>
      </c>
      <c r="I1525" s="26">
        <v>42726</v>
      </c>
    </row>
    <row r="1526" spans="1:9" x14ac:dyDescent="0.2">
      <c r="A1526">
        <v>1513</v>
      </c>
      <c r="B1526" t="s">
        <v>4353</v>
      </c>
      <c r="C1526" t="s">
        <v>4354</v>
      </c>
      <c r="D1526" t="s">
        <v>26</v>
      </c>
      <c r="E1526" t="s">
        <v>14</v>
      </c>
      <c r="F1526">
        <v>436.87</v>
      </c>
      <c r="G1526" t="s">
        <v>27</v>
      </c>
      <c r="H1526" t="s">
        <v>14</v>
      </c>
      <c r="I1526" s="26">
        <v>42726</v>
      </c>
    </row>
    <row r="1527" spans="1:9" x14ac:dyDescent="0.2">
      <c r="A1527">
        <v>1514</v>
      </c>
      <c r="B1527" t="s">
        <v>4355</v>
      </c>
      <c r="C1527" t="s">
        <v>4356</v>
      </c>
      <c r="D1527" t="s">
        <v>26</v>
      </c>
      <c r="E1527" t="s">
        <v>4355</v>
      </c>
      <c r="F1527">
        <v>620.9</v>
      </c>
      <c r="G1527" t="s">
        <v>27</v>
      </c>
      <c r="H1527" t="s">
        <v>14</v>
      </c>
      <c r="I1527" s="26">
        <v>42726</v>
      </c>
    </row>
    <row r="1528" spans="1:9" x14ac:dyDescent="0.2">
      <c r="A1528">
        <v>1515</v>
      </c>
      <c r="B1528" t="s">
        <v>4357</v>
      </c>
      <c r="C1528" t="s">
        <v>4358</v>
      </c>
      <c r="D1528" t="s">
        <v>26</v>
      </c>
      <c r="E1528" t="s">
        <v>14</v>
      </c>
      <c r="G1528" t="s">
        <v>27</v>
      </c>
      <c r="H1528" t="s">
        <v>14</v>
      </c>
      <c r="I1528" s="26"/>
    </row>
    <row r="1529" spans="1:9" x14ac:dyDescent="0.2">
      <c r="A1529">
        <v>1516</v>
      </c>
      <c r="B1529" t="s">
        <v>4359</v>
      </c>
      <c r="C1529" t="s">
        <v>4360</v>
      </c>
      <c r="D1529" t="s">
        <v>26</v>
      </c>
      <c r="E1529" t="s">
        <v>14</v>
      </c>
      <c r="G1529" t="s">
        <v>27</v>
      </c>
      <c r="H1529" t="s">
        <v>14</v>
      </c>
      <c r="I1529" s="26"/>
    </row>
    <row r="1530" spans="1:9" x14ac:dyDescent="0.2">
      <c r="A1530">
        <v>1517</v>
      </c>
      <c r="B1530" t="s">
        <v>4361</v>
      </c>
      <c r="C1530" t="s">
        <v>4362</v>
      </c>
      <c r="D1530" t="s">
        <v>26</v>
      </c>
      <c r="E1530" t="s">
        <v>14</v>
      </c>
      <c r="G1530" t="s">
        <v>27</v>
      </c>
      <c r="H1530" t="s">
        <v>14</v>
      </c>
      <c r="I1530" s="26"/>
    </row>
    <row r="1531" spans="1:9" x14ac:dyDescent="0.2">
      <c r="A1531">
        <v>1518</v>
      </c>
      <c r="B1531" t="s">
        <v>4363</v>
      </c>
      <c r="C1531" t="s">
        <v>4364</v>
      </c>
      <c r="D1531" t="s">
        <v>26</v>
      </c>
      <c r="E1531" t="s">
        <v>14</v>
      </c>
      <c r="G1531" t="s">
        <v>27</v>
      </c>
      <c r="H1531" t="s">
        <v>14</v>
      </c>
      <c r="I1531" s="26"/>
    </row>
    <row r="1532" spans="1:9" x14ac:dyDescent="0.2">
      <c r="A1532">
        <v>1519</v>
      </c>
      <c r="B1532" t="s">
        <v>4365</v>
      </c>
      <c r="C1532" t="s">
        <v>4366</v>
      </c>
      <c r="D1532" t="s">
        <v>26</v>
      </c>
      <c r="E1532" t="s">
        <v>14</v>
      </c>
      <c r="F1532">
        <v>5169.26</v>
      </c>
      <c r="G1532" t="s">
        <v>27</v>
      </c>
      <c r="H1532" t="s">
        <v>14</v>
      </c>
      <c r="I1532" s="26">
        <v>42726</v>
      </c>
    </row>
    <row r="1533" spans="1:9" x14ac:dyDescent="0.2">
      <c r="A1533">
        <v>1520</v>
      </c>
      <c r="B1533" t="s">
        <v>4521</v>
      </c>
      <c r="C1533" t="s">
        <v>4535</v>
      </c>
      <c r="D1533" t="s">
        <v>26</v>
      </c>
      <c r="E1533" t="s">
        <v>289</v>
      </c>
      <c r="F1533">
        <v>2421.67</v>
      </c>
      <c r="G1533" t="s">
        <v>27</v>
      </c>
      <c r="H1533" t="s">
        <v>14</v>
      </c>
      <c r="I1533" s="26">
        <v>43236</v>
      </c>
    </row>
    <row r="1534" spans="1:9" x14ac:dyDescent="0.2">
      <c r="A1534">
        <v>1521</v>
      </c>
      <c r="B1534" t="s">
        <v>4367</v>
      </c>
      <c r="C1534" t="s">
        <v>4368</v>
      </c>
      <c r="D1534" t="s">
        <v>26</v>
      </c>
      <c r="E1534" t="s">
        <v>14</v>
      </c>
      <c r="F1534">
        <v>5146.3900000000003</v>
      </c>
      <c r="G1534" t="s">
        <v>27</v>
      </c>
      <c r="H1534" t="s">
        <v>14</v>
      </c>
      <c r="I1534" s="26">
        <v>42726</v>
      </c>
    </row>
    <row r="1535" spans="1:9" x14ac:dyDescent="0.2">
      <c r="A1535">
        <v>1522</v>
      </c>
      <c r="B1535" t="s">
        <v>4523</v>
      </c>
      <c r="C1535" t="s">
        <v>4537</v>
      </c>
      <c r="D1535" t="s">
        <v>26</v>
      </c>
      <c r="E1535" t="s">
        <v>289</v>
      </c>
      <c r="F1535">
        <v>2436.65</v>
      </c>
      <c r="G1535" t="s">
        <v>27</v>
      </c>
      <c r="H1535" t="s">
        <v>14</v>
      </c>
      <c r="I1535" s="26">
        <v>43236</v>
      </c>
    </row>
    <row r="1536" spans="1:9" x14ac:dyDescent="0.2">
      <c r="A1536">
        <v>1523</v>
      </c>
      <c r="B1536" t="s">
        <v>4369</v>
      </c>
      <c r="C1536" t="s">
        <v>4370</v>
      </c>
      <c r="D1536" t="s">
        <v>26</v>
      </c>
      <c r="E1536" t="s">
        <v>14</v>
      </c>
      <c r="F1536">
        <v>9310.61</v>
      </c>
      <c r="G1536" t="s">
        <v>27</v>
      </c>
      <c r="H1536" t="s">
        <v>14</v>
      </c>
      <c r="I1536" s="26">
        <v>42726</v>
      </c>
    </row>
    <row r="1537" spans="1:9" x14ac:dyDescent="0.2">
      <c r="A1537">
        <v>1524</v>
      </c>
      <c r="B1537" t="s">
        <v>4494</v>
      </c>
      <c r="C1537" t="s">
        <v>4495</v>
      </c>
      <c r="D1537" t="s">
        <v>26</v>
      </c>
      <c r="E1537" t="s">
        <v>14</v>
      </c>
      <c r="F1537">
        <v>3276.62</v>
      </c>
      <c r="G1537" t="s">
        <v>27</v>
      </c>
      <c r="H1537" t="s">
        <v>14</v>
      </c>
      <c r="I1537" s="26">
        <v>43230</v>
      </c>
    </row>
    <row r="1538" spans="1:9" x14ac:dyDescent="0.2">
      <c r="A1538">
        <v>1525</v>
      </c>
      <c r="B1538" t="s">
        <v>4371</v>
      </c>
      <c r="C1538" t="s">
        <v>4372</v>
      </c>
      <c r="D1538" t="s">
        <v>26</v>
      </c>
      <c r="E1538" t="s">
        <v>14</v>
      </c>
      <c r="F1538">
        <v>10459.84</v>
      </c>
      <c r="G1538" t="s">
        <v>27</v>
      </c>
      <c r="H1538" t="s">
        <v>14</v>
      </c>
      <c r="I1538" s="26">
        <v>42726</v>
      </c>
    </row>
    <row r="1539" spans="1:9" x14ac:dyDescent="0.2">
      <c r="A1539">
        <v>1526</v>
      </c>
      <c r="B1539" t="s">
        <v>4373</v>
      </c>
      <c r="C1539" t="s">
        <v>4374</v>
      </c>
      <c r="D1539" t="s">
        <v>26</v>
      </c>
      <c r="E1539" t="s">
        <v>14</v>
      </c>
      <c r="F1539">
        <v>4104.05</v>
      </c>
      <c r="G1539" t="s">
        <v>27</v>
      </c>
      <c r="H1539" t="s">
        <v>14</v>
      </c>
      <c r="I1539" s="26">
        <v>43224</v>
      </c>
    </row>
    <row r="1540" spans="1:9" x14ac:dyDescent="0.2">
      <c r="A1540">
        <v>1527</v>
      </c>
      <c r="B1540" t="s">
        <v>4375</v>
      </c>
      <c r="C1540" t="s">
        <v>4376</v>
      </c>
      <c r="D1540" t="s">
        <v>26</v>
      </c>
      <c r="E1540" t="s">
        <v>14</v>
      </c>
      <c r="G1540" t="s">
        <v>27</v>
      </c>
      <c r="H1540" t="s">
        <v>14</v>
      </c>
      <c r="I1540" s="26"/>
    </row>
    <row r="1541" spans="1:9" x14ac:dyDescent="0.2">
      <c r="A1541">
        <v>1528</v>
      </c>
      <c r="B1541" t="s">
        <v>4377</v>
      </c>
      <c r="C1541" t="s">
        <v>4378</v>
      </c>
      <c r="D1541" t="s">
        <v>26</v>
      </c>
      <c r="E1541" t="s">
        <v>14</v>
      </c>
      <c r="G1541" t="s">
        <v>27</v>
      </c>
      <c r="H1541" t="s">
        <v>14</v>
      </c>
      <c r="I1541" s="26"/>
    </row>
    <row r="1542" spans="1:9" x14ac:dyDescent="0.2">
      <c r="A1542">
        <v>1529</v>
      </c>
      <c r="B1542" t="s">
        <v>4379</v>
      </c>
      <c r="C1542" t="s">
        <v>4380</v>
      </c>
      <c r="D1542" t="s">
        <v>26</v>
      </c>
      <c r="E1542" t="s">
        <v>14</v>
      </c>
      <c r="G1542" t="s">
        <v>27</v>
      </c>
      <c r="H1542" t="s">
        <v>14</v>
      </c>
      <c r="I1542" s="26"/>
    </row>
    <row r="1543" spans="1:9" x14ac:dyDescent="0.2">
      <c r="A1543">
        <v>1530</v>
      </c>
      <c r="B1543" t="s">
        <v>4549</v>
      </c>
      <c r="C1543" t="s">
        <v>4550</v>
      </c>
      <c r="D1543" t="s">
        <v>26</v>
      </c>
      <c r="E1543" t="s">
        <v>289</v>
      </c>
      <c r="F1543">
        <v>2490.2800000000002</v>
      </c>
      <c r="G1543" t="s">
        <v>27</v>
      </c>
      <c r="H1543" t="s">
        <v>14</v>
      </c>
      <c r="I1543" s="26">
        <v>43249</v>
      </c>
    </row>
    <row r="1544" spans="1:9" x14ac:dyDescent="0.2">
      <c r="A1544">
        <v>1531</v>
      </c>
      <c r="B1544" t="s">
        <v>4551</v>
      </c>
      <c r="C1544" t="s">
        <v>4552</v>
      </c>
      <c r="D1544" t="s">
        <v>26</v>
      </c>
      <c r="E1544" t="s">
        <v>289</v>
      </c>
      <c r="F1544">
        <v>2506.66</v>
      </c>
      <c r="G1544" t="s">
        <v>27</v>
      </c>
      <c r="H1544" t="s">
        <v>14</v>
      </c>
      <c r="I1544" s="26">
        <v>43249</v>
      </c>
    </row>
    <row r="1545" spans="1:9" x14ac:dyDescent="0.2">
      <c r="A1545">
        <v>1532</v>
      </c>
      <c r="B1545" t="s">
        <v>4381</v>
      </c>
      <c r="C1545" t="s">
        <v>4382</v>
      </c>
      <c r="D1545" t="s">
        <v>26</v>
      </c>
      <c r="E1545" t="s">
        <v>14</v>
      </c>
      <c r="G1545" t="s">
        <v>27</v>
      </c>
      <c r="H1545" t="s">
        <v>14</v>
      </c>
      <c r="I1545" s="26"/>
    </row>
    <row r="1546" spans="1:9" x14ac:dyDescent="0.2">
      <c r="A1546">
        <v>1533</v>
      </c>
      <c r="B1546" t="s">
        <v>4383</v>
      </c>
      <c r="C1546" t="s">
        <v>4384</v>
      </c>
      <c r="D1546" t="s">
        <v>26</v>
      </c>
      <c r="E1546" t="s">
        <v>14</v>
      </c>
      <c r="G1546" t="s">
        <v>27</v>
      </c>
      <c r="H1546" t="s">
        <v>14</v>
      </c>
      <c r="I1546" s="26"/>
    </row>
    <row r="1547" spans="1:9" x14ac:dyDescent="0.2">
      <c r="A1547">
        <v>1534</v>
      </c>
      <c r="B1547" t="s">
        <v>4385</v>
      </c>
      <c r="C1547" t="s">
        <v>4386</v>
      </c>
      <c r="D1547" t="s">
        <v>26</v>
      </c>
      <c r="E1547" t="s">
        <v>4385</v>
      </c>
      <c r="F1547">
        <v>13242.35</v>
      </c>
      <c r="G1547" t="s">
        <v>27</v>
      </c>
      <c r="H1547" t="s">
        <v>14</v>
      </c>
      <c r="I1547" s="26">
        <v>42726</v>
      </c>
    </row>
    <row r="1548" spans="1:9" x14ac:dyDescent="0.2">
      <c r="A1548">
        <v>1535</v>
      </c>
      <c r="B1548" t="s">
        <v>4387</v>
      </c>
      <c r="C1548" t="s">
        <v>4388</v>
      </c>
      <c r="D1548" t="s">
        <v>26</v>
      </c>
      <c r="E1548" t="s">
        <v>4387</v>
      </c>
      <c r="F1548">
        <v>2280.3000000000002</v>
      </c>
      <c r="G1548" t="s">
        <v>27</v>
      </c>
      <c r="H1548" t="s">
        <v>14</v>
      </c>
      <c r="I1548" s="26"/>
    </row>
    <row r="1549" spans="1:9" x14ac:dyDescent="0.2">
      <c r="A1549">
        <v>1536</v>
      </c>
      <c r="B1549" t="s">
        <v>4389</v>
      </c>
      <c r="C1549" t="s">
        <v>4390</v>
      </c>
      <c r="D1549" t="s">
        <v>26</v>
      </c>
      <c r="E1549" t="s">
        <v>14</v>
      </c>
      <c r="F1549">
        <v>5169.8599999999997</v>
      </c>
      <c r="G1549" t="s">
        <v>27</v>
      </c>
      <c r="H1549" t="s">
        <v>14</v>
      </c>
      <c r="I1549" s="26">
        <v>42726</v>
      </c>
    </row>
    <row r="1550" spans="1:9" x14ac:dyDescent="0.2">
      <c r="A1550">
        <v>1537</v>
      </c>
      <c r="B1550" t="s">
        <v>4391</v>
      </c>
      <c r="C1550" t="s">
        <v>4392</v>
      </c>
      <c r="D1550" t="s">
        <v>26</v>
      </c>
      <c r="E1550" t="s">
        <v>14</v>
      </c>
      <c r="F1550">
        <v>5264.23</v>
      </c>
      <c r="G1550" t="s">
        <v>27</v>
      </c>
      <c r="H1550" t="s">
        <v>14</v>
      </c>
      <c r="I1550" s="26">
        <v>42726</v>
      </c>
    </row>
    <row r="1551" spans="1:9" x14ac:dyDescent="0.2">
      <c r="A1551">
        <v>1538</v>
      </c>
      <c r="B1551" t="s">
        <v>4522</v>
      </c>
      <c r="C1551" t="s">
        <v>4536</v>
      </c>
      <c r="D1551" t="s">
        <v>26</v>
      </c>
      <c r="E1551" t="s">
        <v>289</v>
      </c>
      <c r="F1551">
        <v>2391.3000000000002</v>
      </c>
      <c r="G1551" t="s">
        <v>27</v>
      </c>
      <c r="H1551" t="s">
        <v>14</v>
      </c>
      <c r="I1551" s="26">
        <v>43236</v>
      </c>
    </row>
    <row r="1552" spans="1:9" x14ac:dyDescent="0.2">
      <c r="A1552">
        <v>1539</v>
      </c>
      <c r="B1552" t="s">
        <v>4520</v>
      </c>
      <c r="C1552" t="s">
        <v>4534</v>
      </c>
      <c r="D1552" t="s">
        <v>26</v>
      </c>
      <c r="E1552" t="s">
        <v>289</v>
      </c>
      <c r="F1552">
        <v>2376.3200000000002</v>
      </c>
      <c r="G1552" t="s">
        <v>27</v>
      </c>
      <c r="H1552" t="s">
        <v>14</v>
      </c>
      <c r="I1552" s="26">
        <v>43236</v>
      </c>
    </row>
    <row r="1553" spans="1:9" x14ac:dyDescent="0.2">
      <c r="A1553">
        <v>1540</v>
      </c>
      <c r="B1553" t="s">
        <v>4393</v>
      </c>
      <c r="C1553" t="s">
        <v>4394</v>
      </c>
      <c r="D1553" t="s">
        <v>26</v>
      </c>
      <c r="E1553" t="s">
        <v>14</v>
      </c>
      <c r="F1553">
        <v>9234.27</v>
      </c>
      <c r="G1553" t="s">
        <v>27</v>
      </c>
      <c r="H1553" t="s">
        <v>14</v>
      </c>
      <c r="I1553" s="26">
        <v>42726</v>
      </c>
    </row>
    <row r="1554" spans="1:9" x14ac:dyDescent="0.2">
      <c r="A1554">
        <v>1541</v>
      </c>
      <c r="B1554" t="s">
        <v>4492</v>
      </c>
      <c r="C1554" t="s">
        <v>4493</v>
      </c>
      <c r="D1554" t="s">
        <v>26</v>
      </c>
      <c r="E1554" t="s">
        <v>14</v>
      </c>
      <c r="F1554">
        <v>3355.34</v>
      </c>
      <c r="G1554" t="s">
        <v>27</v>
      </c>
      <c r="H1554" t="s">
        <v>14</v>
      </c>
      <c r="I1554" s="26">
        <v>43230</v>
      </c>
    </row>
    <row r="1555" spans="1:9" x14ac:dyDescent="0.2">
      <c r="A1555">
        <v>1542</v>
      </c>
      <c r="B1555" t="s">
        <v>4395</v>
      </c>
      <c r="C1555" t="s">
        <v>4396</v>
      </c>
      <c r="D1555" t="s">
        <v>26</v>
      </c>
      <c r="E1555" t="s">
        <v>4397</v>
      </c>
      <c r="F1555">
        <v>137.25</v>
      </c>
      <c r="G1555" t="s">
        <v>27</v>
      </c>
      <c r="H1555" t="s">
        <v>14</v>
      </c>
      <c r="I1555" s="26">
        <v>42726</v>
      </c>
    </row>
    <row r="1556" spans="1:9" x14ac:dyDescent="0.2">
      <c r="A1556">
        <v>1543</v>
      </c>
      <c r="B1556" t="s">
        <v>4398</v>
      </c>
      <c r="C1556" t="s">
        <v>4399</v>
      </c>
      <c r="D1556" t="s">
        <v>26</v>
      </c>
      <c r="E1556" t="s">
        <v>4400</v>
      </c>
      <c r="F1556">
        <v>245.82</v>
      </c>
      <c r="G1556" t="s">
        <v>27</v>
      </c>
      <c r="H1556" t="s">
        <v>14</v>
      </c>
      <c r="I1556" s="26">
        <v>42726</v>
      </c>
    </row>
    <row r="1557" spans="1:9" x14ac:dyDescent="0.2">
      <c r="A1557">
        <v>1544</v>
      </c>
      <c r="B1557" t="s">
        <v>4500</v>
      </c>
      <c r="C1557" t="s">
        <v>4519</v>
      </c>
      <c r="D1557" t="s">
        <v>26</v>
      </c>
      <c r="E1557" t="s">
        <v>14</v>
      </c>
      <c r="F1557">
        <v>5151.95</v>
      </c>
      <c r="G1557" t="s">
        <v>27</v>
      </c>
      <c r="H1557" t="s">
        <v>14</v>
      </c>
      <c r="I1557" s="26">
        <v>43235</v>
      </c>
    </row>
    <row r="1558" spans="1:9" x14ac:dyDescent="0.2">
      <c r="A1558">
        <v>1545</v>
      </c>
      <c r="B1558" t="s">
        <v>4502</v>
      </c>
      <c r="C1558" t="s">
        <v>4511</v>
      </c>
      <c r="D1558" t="s">
        <v>26</v>
      </c>
      <c r="E1558" t="s">
        <v>14</v>
      </c>
      <c r="F1558">
        <v>5126.38</v>
      </c>
      <c r="G1558" t="s">
        <v>27</v>
      </c>
      <c r="H1558" t="s">
        <v>14</v>
      </c>
      <c r="I1558" s="26">
        <v>43235</v>
      </c>
    </row>
    <row r="1559" spans="1:9" x14ac:dyDescent="0.2">
      <c r="A1559">
        <v>1546</v>
      </c>
      <c r="B1559" t="s">
        <v>4401</v>
      </c>
      <c r="C1559" t="s">
        <v>4402</v>
      </c>
      <c r="D1559" t="s">
        <v>26</v>
      </c>
      <c r="E1559" t="s">
        <v>4403</v>
      </c>
      <c r="F1559">
        <v>82.47</v>
      </c>
      <c r="G1559" t="s">
        <v>27</v>
      </c>
      <c r="H1559" t="s">
        <v>14</v>
      </c>
      <c r="I1559" s="26">
        <v>43217</v>
      </c>
    </row>
    <row r="1560" spans="1:9" x14ac:dyDescent="0.2">
      <c r="A1560">
        <v>1547</v>
      </c>
      <c r="B1560" t="s">
        <v>4404</v>
      </c>
      <c r="C1560" t="s">
        <v>4405</v>
      </c>
      <c r="D1560" t="s">
        <v>40</v>
      </c>
      <c r="E1560" t="s">
        <v>4406</v>
      </c>
      <c r="G1560" t="s">
        <v>42</v>
      </c>
      <c r="H1560" t="s">
        <v>14</v>
      </c>
      <c r="I1560" s="26">
        <v>42290</v>
      </c>
    </row>
    <row r="1561" spans="1:9" x14ac:dyDescent="0.2">
      <c r="A1561">
        <v>1548</v>
      </c>
      <c r="B1561" t="s">
        <v>4407</v>
      </c>
      <c r="C1561" t="s">
        <v>4408</v>
      </c>
      <c r="D1561" t="s">
        <v>118</v>
      </c>
      <c r="E1561" t="s">
        <v>4409</v>
      </c>
      <c r="F1561">
        <v>2530</v>
      </c>
      <c r="G1561" t="s">
        <v>120</v>
      </c>
      <c r="H1561" t="s">
        <v>14</v>
      </c>
      <c r="I1561" s="26">
        <v>42289</v>
      </c>
    </row>
    <row r="1562" spans="1:9" x14ac:dyDescent="0.2">
      <c r="A1562">
        <v>1549</v>
      </c>
      <c r="B1562" t="s">
        <v>4410</v>
      </c>
      <c r="C1562" t="s">
        <v>4411</v>
      </c>
      <c r="D1562" t="s">
        <v>118</v>
      </c>
      <c r="E1562" t="s">
        <v>351</v>
      </c>
      <c r="F1562">
        <v>0</v>
      </c>
      <c r="G1562" t="s">
        <v>120</v>
      </c>
      <c r="H1562" t="s">
        <v>14</v>
      </c>
      <c r="I1562" s="26">
        <v>42289</v>
      </c>
    </row>
    <row r="1563" spans="1:9" x14ac:dyDescent="0.2">
      <c r="A1563">
        <v>1550</v>
      </c>
      <c r="B1563" t="s">
        <v>4412</v>
      </c>
      <c r="C1563" t="s">
        <v>4413</v>
      </c>
      <c r="D1563" t="s">
        <v>118</v>
      </c>
      <c r="E1563" t="s">
        <v>4414</v>
      </c>
      <c r="F1563">
        <v>0</v>
      </c>
      <c r="G1563" t="s">
        <v>120</v>
      </c>
      <c r="H1563" t="s">
        <v>14</v>
      </c>
      <c r="I1563" s="26">
        <v>42289</v>
      </c>
    </row>
    <row r="1564" spans="1:9" x14ac:dyDescent="0.2">
      <c r="A1564">
        <v>1551</v>
      </c>
      <c r="B1564" t="s">
        <v>4415</v>
      </c>
      <c r="C1564" t="s">
        <v>974</v>
      </c>
      <c r="D1564" t="s">
        <v>118</v>
      </c>
      <c r="E1564" t="s">
        <v>4416</v>
      </c>
      <c r="F1564">
        <v>0</v>
      </c>
      <c r="G1564" t="s">
        <v>120</v>
      </c>
      <c r="H1564" t="s">
        <v>14</v>
      </c>
      <c r="I1564" s="26">
        <v>42289</v>
      </c>
    </row>
    <row r="1565" spans="1:9" x14ac:dyDescent="0.2">
      <c r="A1565">
        <v>1552</v>
      </c>
      <c r="B1565" t="s">
        <v>4417</v>
      </c>
      <c r="C1565" t="s">
        <v>4418</v>
      </c>
      <c r="D1565" t="s">
        <v>14</v>
      </c>
      <c r="E1565" t="s">
        <v>4419</v>
      </c>
      <c r="F1565">
        <v>0</v>
      </c>
      <c r="G1565" t="s">
        <v>2398</v>
      </c>
      <c r="H1565" t="s">
        <v>14</v>
      </c>
      <c r="I1565" s="26"/>
    </row>
    <row r="1566" spans="1:9" x14ac:dyDescent="0.2">
      <c r="A1566">
        <v>1553</v>
      </c>
      <c r="B1566" t="s">
        <v>4420</v>
      </c>
      <c r="C1566" t="s">
        <v>4421</v>
      </c>
      <c r="D1566" t="s">
        <v>26</v>
      </c>
      <c r="E1566" t="s">
        <v>289</v>
      </c>
      <c r="F1566">
        <v>0</v>
      </c>
      <c r="G1566" t="s">
        <v>27</v>
      </c>
      <c r="H1566" t="s">
        <v>14</v>
      </c>
      <c r="I1566" s="26">
        <v>42963</v>
      </c>
    </row>
    <row r="1567" spans="1:9" x14ac:dyDescent="0.2">
      <c r="A1567">
        <v>1554</v>
      </c>
      <c r="B1567" t="s">
        <v>4422</v>
      </c>
      <c r="C1567" t="s">
        <v>4423</v>
      </c>
      <c r="D1567" t="s">
        <v>26</v>
      </c>
      <c r="E1567" t="s">
        <v>4424</v>
      </c>
      <c r="F1567">
        <v>0</v>
      </c>
      <c r="G1567" t="s">
        <v>2398</v>
      </c>
      <c r="H1567" t="s">
        <v>14</v>
      </c>
      <c r="I1567" s="26">
        <v>42963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8"/>
  <sheetViews>
    <sheetView topLeftCell="B1" workbookViewId="0">
      <selection activeCell="H43" sqref="H43"/>
    </sheetView>
  </sheetViews>
  <sheetFormatPr defaultRowHeight="12.75" x14ac:dyDescent="0.2"/>
  <cols>
    <col min="1" max="1" width="5.140625" hidden="1" customWidth="1"/>
    <col min="2" max="2" width="8" customWidth="1"/>
    <col min="3" max="3" width="10.28515625" customWidth="1"/>
    <col min="4" max="4" width="8.85546875" customWidth="1"/>
    <col min="5" max="5" width="5.5703125" customWidth="1"/>
    <col min="6" max="6" width="12.28515625" bestFit="1" customWidth="1"/>
    <col min="7" max="7" width="60.7109375" bestFit="1" customWidth="1"/>
  </cols>
  <sheetData>
    <row r="1" spans="1:5" x14ac:dyDescent="0.2">
      <c r="A1" t="s">
        <v>15</v>
      </c>
      <c r="B1" t="s">
        <v>4614</v>
      </c>
      <c r="C1" t="s">
        <v>4615</v>
      </c>
      <c r="D1" t="s">
        <v>4616</v>
      </c>
      <c r="E1" t="s">
        <v>4617</v>
      </c>
    </row>
    <row r="2" spans="1:5" x14ac:dyDescent="0.2">
      <c r="A2">
        <v>4</v>
      </c>
      <c r="B2" t="s">
        <v>4618</v>
      </c>
      <c r="C2" t="s">
        <v>4619</v>
      </c>
      <c r="D2" t="s">
        <v>4620</v>
      </c>
      <c r="E2" t="s">
        <v>4621</v>
      </c>
    </row>
    <row r="3" spans="1:5" x14ac:dyDescent="0.2">
      <c r="A3">
        <v>6</v>
      </c>
      <c r="B3" t="s">
        <v>4622</v>
      </c>
      <c r="C3" t="s">
        <v>4623</v>
      </c>
      <c r="D3" t="s">
        <v>4620</v>
      </c>
      <c r="E3" t="s">
        <v>4624</v>
      </c>
    </row>
    <row r="4" spans="1:5" x14ac:dyDescent="0.2">
      <c r="A4">
        <v>7</v>
      </c>
      <c r="B4" t="s">
        <v>4625</v>
      </c>
      <c r="C4" t="s">
        <v>4626</v>
      </c>
      <c r="D4" t="s">
        <v>4620</v>
      </c>
      <c r="E4" t="s">
        <v>4624</v>
      </c>
    </row>
    <row r="5" spans="1:5" x14ac:dyDescent="0.2">
      <c r="A5">
        <v>8</v>
      </c>
      <c r="B5" t="s">
        <v>4627</v>
      </c>
      <c r="C5" t="s">
        <v>4626</v>
      </c>
      <c r="D5" t="s">
        <v>4628</v>
      </c>
      <c r="E5" t="s">
        <v>4624</v>
      </c>
    </row>
    <row r="6" spans="1:5" x14ac:dyDescent="0.2">
      <c r="A6">
        <v>9</v>
      </c>
      <c r="B6" t="s">
        <v>4629</v>
      </c>
      <c r="C6" t="s">
        <v>4630</v>
      </c>
      <c r="D6" t="s">
        <v>4628</v>
      </c>
      <c r="E6" t="s">
        <v>4624</v>
      </c>
    </row>
    <row r="7" spans="1:5" x14ac:dyDescent="0.2">
      <c r="A7">
        <v>10</v>
      </c>
      <c r="B7" t="s">
        <v>4631</v>
      </c>
      <c r="C7" t="s">
        <v>4632</v>
      </c>
      <c r="D7" t="s">
        <v>4628</v>
      </c>
      <c r="E7" t="s">
        <v>4621</v>
      </c>
    </row>
    <row r="8" spans="1:5" x14ac:dyDescent="0.2">
      <c r="A8">
        <v>11</v>
      </c>
      <c r="B8" t="s">
        <v>4633</v>
      </c>
      <c r="C8" t="s">
        <v>4634</v>
      </c>
      <c r="D8" t="s">
        <v>4620</v>
      </c>
      <c r="E8" t="s">
        <v>4621</v>
      </c>
    </row>
    <row r="9" spans="1:5" x14ac:dyDescent="0.2">
      <c r="A9">
        <v>12</v>
      </c>
      <c r="B9" t="s">
        <v>4635</v>
      </c>
      <c r="C9" t="s">
        <v>4634</v>
      </c>
      <c r="D9" t="s">
        <v>4628</v>
      </c>
      <c r="E9" t="s">
        <v>4621</v>
      </c>
    </row>
    <row r="10" spans="1:5" x14ac:dyDescent="0.2">
      <c r="A10">
        <v>13</v>
      </c>
      <c r="B10" t="s">
        <v>4636</v>
      </c>
      <c r="C10" t="s">
        <v>4637</v>
      </c>
      <c r="D10" t="s">
        <v>4620</v>
      </c>
      <c r="E10" t="s">
        <v>4624</v>
      </c>
    </row>
    <row r="11" spans="1:5" x14ac:dyDescent="0.2">
      <c r="A11">
        <v>14</v>
      </c>
      <c r="B11" t="s">
        <v>4638</v>
      </c>
      <c r="C11" t="s">
        <v>4639</v>
      </c>
      <c r="D11" t="s">
        <v>4620</v>
      </c>
      <c r="E11" t="s">
        <v>4621</v>
      </c>
    </row>
    <row r="12" spans="1:5" x14ac:dyDescent="0.2">
      <c r="A12">
        <v>15</v>
      </c>
      <c r="B12" t="s">
        <v>4640</v>
      </c>
      <c r="C12" t="s">
        <v>4641</v>
      </c>
      <c r="D12" t="s">
        <v>4628</v>
      </c>
      <c r="E12" t="s">
        <v>4624</v>
      </c>
    </row>
    <row r="13" spans="1:5" x14ac:dyDescent="0.2">
      <c r="A13">
        <v>16</v>
      </c>
      <c r="B13" t="s">
        <v>4642</v>
      </c>
      <c r="C13" t="s">
        <v>4643</v>
      </c>
      <c r="D13" t="s">
        <v>4628</v>
      </c>
      <c r="E13" t="s">
        <v>4624</v>
      </c>
    </row>
    <row r="14" spans="1:5" x14ac:dyDescent="0.2">
      <c r="A14">
        <v>17</v>
      </c>
      <c r="B14" t="s">
        <v>4644</v>
      </c>
      <c r="C14" t="s">
        <v>4641</v>
      </c>
      <c r="D14" t="s">
        <v>4628</v>
      </c>
      <c r="E14" t="s">
        <v>4621</v>
      </c>
    </row>
    <row r="15" spans="1:5" x14ac:dyDescent="0.2">
      <c r="A15">
        <v>18</v>
      </c>
      <c r="B15" t="s">
        <v>4645</v>
      </c>
      <c r="C15" t="s">
        <v>4646</v>
      </c>
      <c r="D15" t="s">
        <v>4620</v>
      </c>
      <c r="E15" t="s">
        <v>4624</v>
      </c>
    </row>
    <row r="16" spans="1:5" x14ac:dyDescent="0.2">
      <c r="A16">
        <v>19</v>
      </c>
      <c r="B16" t="s">
        <v>4647</v>
      </c>
      <c r="C16" t="s">
        <v>4648</v>
      </c>
      <c r="D16" t="s">
        <v>4628</v>
      </c>
      <c r="E16" t="s">
        <v>4621</v>
      </c>
    </row>
    <row r="17" spans="1:5" x14ac:dyDescent="0.2">
      <c r="A17">
        <v>20</v>
      </c>
      <c r="B17" t="s">
        <v>4649</v>
      </c>
      <c r="C17" t="s">
        <v>4650</v>
      </c>
      <c r="D17" t="s">
        <v>4628</v>
      </c>
      <c r="E17" t="s">
        <v>4624</v>
      </c>
    </row>
    <row r="18" spans="1:5" x14ac:dyDescent="0.2">
      <c r="A18">
        <v>21</v>
      </c>
      <c r="B18" t="s">
        <v>4651</v>
      </c>
      <c r="C18" t="s">
        <v>4652</v>
      </c>
      <c r="D18" t="s">
        <v>4628</v>
      </c>
      <c r="E18" t="s">
        <v>4621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"/>
  <sheetViews>
    <sheetView workbookViewId="0">
      <selection activeCell="F2" sqref="F2"/>
    </sheetView>
  </sheetViews>
  <sheetFormatPr defaultRowHeight="12.75" x14ac:dyDescent="0.2"/>
  <cols>
    <col min="1" max="1" width="7.42578125" style="33" bestFit="1" customWidth="1"/>
    <col min="2" max="2" width="10.28515625" style="33" bestFit="1" customWidth="1"/>
    <col min="3" max="3" width="12.5703125" style="33" bestFit="1" customWidth="1"/>
    <col min="4" max="4" width="11.140625" style="33" bestFit="1" customWidth="1"/>
    <col min="5" max="5" width="7.85546875" style="33" bestFit="1" customWidth="1"/>
    <col min="6" max="6" width="18" bestFit="1" customWidth="1"/>
  </cols>
  <sheetData>
    <row r="1" spans="1:6" x14ac:dyDescent="0.2">
      <c r="A1" s="33" t="s">
        <v>15</v>
      </c>
      <c r="B1" s="33" t="s">
        <v>4614</v>
      </c>
      <c r="C1" s="33" t="s">
        <v>4615</v>
      </c>
      <c r="D1" s="33" t="s">
        <v>4616</v>
      </c>
      <c r="E1" s="33" t="s">
        <v>4617</v>
      </c>
      <c r="F1" s="34" t="s">
        <v>4653</v>
      </c>
    </row>
    <row r="2" spans="1:6" x14ac:dyDescent="0.2">
      <c r="A2" s="33">
        <v>4</v>
      </c>
      <c r="B2" s="33" t="s">
        <v>4618</v>
      </c>
      <c r="C2" s="33" t="s">
        <v>4619</v>
      </c>
      <c r="D2" s="33" t="s">
        <v>4620</v>
      </c>
      <c r="E2" s="33" t="s">
        <v>4621</v>
      </c>
      <c r="F2" s="33" t="str">
        <f>CONCATENATE(Table_Refrigeration_Data[[#This Row],[Voltage]],"/",Table_Refrigeration_Data[[#This Row],[Phase]],"/",Table_Refrigeration_Data[[#This Row],[Hz]])</f>
        <v>115/1/60</v>
      </c>
    </row>
    <row r="3" spans="1:6" x14ac:dyDescent="0.2">
      <c r="A3" s="33">
        <v>6</v>
      </c>
      <c r="B3" s="33" t="s">
        <v>4622</v>
      </c>
      <c r="C3" s="33" t="s">
        <v>4623</v>
      </c>
      <c r="D3" s="33" t="s">
        <v>4620</v>
      </c>
      <c r="E3" s="33" t="s">
        <v>4624</v>
      </c>
      <c r="F3" s="33" t="str">
        <f>CONCATENATE(Table_Refrigeration_Data[[#This Row],[Voltage]],"/",Table_Refrigeration_Data[[#This Row],[Phase]],"/",Table_Refrigeration_Data[[#This Row],[Hz]])</f>
        <v>200/1/50</v>
      </c>
    </row>
    <row r="4" spans="1:6" x14ac:dyDescent="0.2">
      <c r="A4" s="33">
        <v>7</v>
      </c>
      <c r="B4" s="33" t="s">
        <v>4625</v>
      </c>
      <c r="C4" s="33" t="s">
        <v>4626</v>
      </c>
      <c r="D4" s="33" t="s">
        <v>4620</v>
      </c>
      <c r="E4" s="33" t="s">
        <v>4624</v>
      </c>
      <c r="F4" s="33" t="str">
        <f>CONCATENATE(Table_Refrigeration_Data[[#This Row],[Voltage]],"/",Table_Refrigeration_Data[[#This Row],[Phase]],"/",Table_Refrigeration_Data[[#This Row],[Hz]])</f>
        <v>200-220/1/50</v>
      </c>
    </row>
    <row r="5" spans="1:6" x14ac:dyDescent="0.2">
      <c r="A5" s="33">
        <v>8</v>
      </c>
      <c r="B5" s="33" t="s">
        <v>4627</v>
      </c>
      <c r="C5" s="33" t="s">
        <v>4626</v>
      </c>
      <c r="D5" s="33" t="s">
        <v>4628</v>
      </c>
      <c r="E5" s="33" t="s">
        <v>4624</v>
      </c>
      <c r="F5" s="33" t="str">
        <f>CONCATENATE(Table_Refrigeration_Data[[#This Row],[Voltage]],"/",Table_Refrigeration_Data[[#This Row],[Phase]],"/",Table_Refrigeration_Data[[#This Row],[Hz]])</f>
        <v>200-220/3/50</v>
      </c>
    </row>
    <row r="6" spans="1:6" x14ac:dyDescent="0.2">
      <c r="A6" s="33">
        <v>9</v>
      </c>
      <c r="B6" s="33" t="s">
        <v>4629</v>
      </c>
      <c r="C6" s="33" t="s">
        <v>4630</v>
      </c>
      <c r="D6" s="33" t="s">
        <v>4628</v>
      </c>
      <c r="E6" s="33" t="s">
        <v>4624</v>
      </c>
      <c r="F6" s="33" t="str">
        <f>CONCATENATE(Table_Refrigeration_Data[[#This Row],[Voltage]],"/",Table_Refrigeration_Data[[#This Row],[Phase]],"/",Table_Refrigeration_Data[[#This Row],[Hz]])</f>
        <v>200-240/3/50</v>
      </c>
    </row>
    <row r="7" spans="1:6" x14ac:dyDescent="0.2">
      <c r="A7" s="33">
        <v>10</v>
      </c>
      <c r="B7" s="33" t="s">
        <v>4631</v>
      </c>
      <c r="C7" s="33" t="s">
        <v>4632</v>
      </c>
      <c r="D7" s="33" t="s">
        <v>4628</v>
      </c>
      <c r="E7" s="33" t="s">
        <v>4621</v>
      </c>
      <c r="F7" s="33" t="str">
        <f>CONCATENATE(Table_Refrigeration_Data[[#This Row],[Voltage]],"/",Table_Refrigeration_Data[[#This Row],[Phase]],"/",Table_Refrigeration_Data[[#This Row],[Hz]])</f>
        <v>200-230/3/60</v>
      </c>
    </row>
    <row r="8" spans="1:6" x14ac:dyDescent="0.2">
      <c r="A8" s="33">
        <v>11</v>
      </c>
      <c r="B8" s="33" t="s">
        <v>4633</v>
      </c>
      <c r="C8" s="33" t="s">
        <v>4634</v>
      </c>
      <c r="D8" s="33" t="s">
        <v>4620</v>
      </c>
      <c r="E8" s="33" t="s">
        <v>4621</v>
      </c>
      <c r="F8" s="33" t="str">
        <f>CONCATENATE(Table_Refrigeration_Data[[#This Row],[Voltage]],"/",Table_Refrigeration_Data[[#This Row],[Phase]],"/",Table_Refrigeration_Data[[#This Row],[Hz]])</f>
        <v>208-230/1/60</v>
      </c>
    </row>
    <row r="9" spans="1:6" x14ac:dyDescent="0.2">
      <c r="A9" s="33">
        <v>12</v>
      </c>
      <c r="B9" s="33" t="s">
        <v>4635</v>
      </c>
      <c r="C9" s="33" t="s">
        <v>4634</v>
      </c>
      <c r="D9" s="33" t="s">
        <v>4628</v>
      </c>
      <c r="E9" s="33" t="s">
        <v>4621</v>
      </c>
      <c r="F9" s="33" t="str">
        <f>CONCATENATE(Table_Refrigeration_Data[[#This Row],[Voltage]],"/",Table_Refrigeration_Data[[#This Row],[Phase]],"/",Table_Refrigeration_Data[[#This Row],[Hz]])</f>
        <v>208-230/3/60</v>
      </c>
    </row>
    <row r="10" spans="1:6" x14ac:dyDescent="0.2">
      <c r="A10" s="33">
        <v>13</v>
      </c>
      <c r="B10" s="33" t="s">
        <v>4636</v>
      </c>
      <c r="C10" s="33" t="s">
        <v>4637</v>
      </c>
      <c r="D10" s="33" t="s">
        <v>4620</v>
      </c>
      <c r="E10" s="33" t="s">
        <v>4624</v>
      </c>
      <c r="F10" s="33" t="str">
        <f>CONCATENATE(Table_Refrigeration_Data[[#This Row],[Voltage]],"/",Table_Refrigeration_Data[[#This Row],[Phase]],"/",Table_Refrigeration_Data[[#This Row],[Hz]])</f>
        <v>220-240/1/50</v>
      </c>
    </row>
    <row r="11" spans="1:6" x14ac:dyDescent="0.2">
      <c r="A11" s="33">
        <v>14</v>
      </c>
      <c r="B11" s="33" t="s">
        <v>4638</v>
      </c>
      <c r="C11" s="33" t="s">
        <v>4639</v>
      </c>
      <c r="D11" s="33" t="s">
        <v>4620</v>
      </c>
      <c r="E11" s="33" t="s">
        <v>4621</v>
      </c>
      <c r="F11" s="33" t="str">
        <f>CONCATENATE(Table_Refrigeration_Data[[#This Row],[Voltage]],"/",Table_Refrigeration_Data[[#This Row],[Phase]],"/",Table_Refrigeration_Data[[#This Row],[Hz]])</f>
        <v>230/1/60</v>
      </c>
    </row>
    <row r="12" spans="1:6" x14ac:dyDescent="0.2">
      <c r="A12" s="33">
        <v>15</v>
      </c>
      <c r="B12" s="33" t="s">
        <v>4640</v>
      </c>
      <c r="C12" s="33" t="s">
        <v>4641</v>
      </c>
      <c r="D12" s="33" t="s">
        <v>4628</v>
      </c>
      <c r="E12" s="33" t="s">
        <v>4624</v>
      </c>
      <c r="F12" s="33" t="str">
        <f>CONCATENATE(Table_Refrigeration_Data[[#This Row],[Voltage]],"/",Table_Refrigeration_Data[[#This Row],[Phase]],"/",Table_Refrigeration_Data[[#This Row],[Hz]])</f>
        <v>380/3/50</v>
      </c>
    </row>
    <row r="13" spans="1:6" x14ac:dyDescent="0.2">
      <c r="A13" s="33">
        <v>16</v>
      </c>
      <c r="B13" s="33" t="s">
        <v>4642</v>
      </c>
      <c r="C13" s="33" t="s">
        <v>4643</v>
      </c>
      <c r="D13" s="33" t="s">
        <v>4628</v>
      </c>
      <c r="E13" s="33" t="s">
        <v>4624</v>
      </c>
      <c r="F13" s="33" t="str">
        <f>CONCATENATE(Table_Refrigeration_Data[[#This Row],[Voltage]],"/",Table_Refrigeration_Data[[#This Row],[Phase]],"/",Table_Refrigeration_Data[[#This Row],[Hz]])</f>
        <v>380-420/3/50</v>
      </c>
    </row>
    <row r="14" spans="1:6" x14ac:dyDescent="0.2">
      <c r="A14" s="33">
        <v>17</v>
      </c>
      <c r="B14" s="33" t="s">
        <v>4644</v>
      </c>
      <c r="C14" s="33" t="s">
        <v>4641</v>
      </c>
      <c r="D14" s="33" t="s">
        <v>4628</v>
      </c>
      <c r="E14" s="33" t="s">
        <v>4621</v>
      </c>
      <c r="F14" s="33" t="str">
        <f>CONCATENATE(Table_Refrigeration_Data[[#This Row],[Voltage]],"/",Table_Refrigeration_Data[[#This Row],[Phase]],"/",Table_Refrigeration_Data[[#This Row],[Hz]])</f>
        <v>380/3/60</v>
      </c>
    </row>
    <row r="15" spans="1:6" x14ac:dyDescent="0.2">
      <c r="A15" s="33">
        <v>18</v>
      </c>
      <c r="B15" s="33" t="s">
        <v>4645</v>
      </c>
      <c r="C15" s="33" t="s">
        <v>4646</v>
      </c>
      <c r="D15" s="33" t="s">
        <v>4620</v>
      </c>
      <c r="E15" s="33" t="s">
        <v>4624</v>
      </c>
      <c r="F15" s="33" t="str">
        <f>CONCATENATE(Table_Refrigeration_Data[[#This Row],[Voltage]],"/",Table_Refrigeration_Data[[#This Row],[Phase]],"/",Table_Refrigeration_Data[[#This Row],[Hz]])</f>
        <v>415/1/50</v>
      </c>
    </row>
    <row r="16" spans="1:6" x14ac:dyDescent="0.2">
      <c r="A16" s="33">
        <v>19</v>
      </c>
      <c r="B16" s="33" t="s">
        <v>4647</v>
      </c>
      <c r="C16" s="33" t="s">
        <v>4648</v>
      </c>
      <c r="D16" s="33" t="s">
        <v>4628</v>
      </c>
      <c r="E16" s="33" t="s">
        <v>4621</v>
      </c>
      <c r="F16" s="33" t="str">
        <f>CONCATENATE(Table_Refrigeration_Data[[#This Row],[Voltage]],"/",Table_Refrigeration_Data[[#This Row],[Phase]],"/",Table_Refrigeration_Data[[#This Row],[Hz]])</f>
        <v>460/3/60</v>
      </c>
    </row>
    <row r="17" spans="1:6" x14ac:dyDescent="0.2">
      <c r="A17" s="33">
        <v>20</v>
      </c>
      <c r="B17" s="33" t="s">
        <v>4649</v>
      </c>
      <c r="C17" s="33" t="s">
        <v>4650</v>
      </c>
      <c r="D17" s="33" t="s">
        <v>4628</v>
      </c>
      <c r="E17" s="33" t="s">
        <v>4624</v>
      </c>
      <c r="F17" s="33" t="str">
        <f>CONCATENATE(Table_Refrigeration_Data[[#This Row],[Voltage]],"/",Table_Refrigeration_Data[[#This Row],[Phase]],"/",Table_Refrigeration_Data[[#This Row],[Hz]])</f>
        <v>500/3/50</v>
      </c>
    </row>
    <row r="18" spans="1:6" x14ac:dyDescent="0.2">
      <c r="A18" s="33">
        <v>21</v>
      </c>
      <c r="B18" s="33" t="s">
        <v>4651</v>
      </c>
      <c r="C18" s="33" t="s">
        <v>4652</v>
      </c>
      <c r="D18" s="33" t="s">
        <v>4628</v>
      </c>
      <c r="E18" s="33" t="s">
        <v>4621</v>
      </c>
      <c r="F18" s="33" t="str">
        <f>CONCATENATE(Table_Refrigeration_Data[[#This Row],[Voltage]],"/",Table_Refrigeration_Data[[#This Row],[Phase]],"/",Table_Refrigeration_Data[[#This Row],[Hz]])</f>
        <v>575/3/60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Refrigeration BOM</vt:lpstr>
      <vt:lpstr>Refrigeration BOM (Blank)</vt:lpstr>
      <vt:lpstr>Part ID</vt:lpstr>
      <vt:lpstr>Vendor Data</vt:lpstr>
      <vt:lpstr>Voltage Codes</vt:lpstr>
      <vt:lpstr>'Refrigeration BOM'!Print_Area</vt:lpstr>
      <vt:lpstr>'Refrigeration BOM (Blank)'!Print_Area</vt:lpstr>
      <vt:lpstr>'Refrigeration BOM'!Print_Titles</vt:lpstr>
      <vt:lpstr>'Refrigeration BOM (Blank)'!Print_Titles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Lewis</dc:creator>
  <cp:lastModifiedBy>Cody Baker</cp:lastModifiedBy>
  <cp:lastPrinted>2018-05-09T18:43:06Z</cp:lastPrinted>
  <dcterms:created xsi:type="dcterms:W3CDTF">2005-04-28T20:38:25Z</dcterms:created>
  <dcterms:modified xsi:type="dcterms:W3CDTF">2018-06-25T17:11:34Z</dcterms:modified>
</cp:coreProperties>
</file>